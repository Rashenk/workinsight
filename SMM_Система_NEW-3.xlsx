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ДАШБОРД" sheetId="1" r:id="rId5"/>
    <sheet state="visible" name="📋 ПРОЕКТЫ" sheetId="2" r:id="rId6"/>
    <sheet state="visible" name="📈 АНАЛИТИКА" sheetId="3" r:id="rId7"/>
    <sheet state="visible" name="📌 ЗАДАЧИ" sheetId="4" r:id="rId8"/>
    <sheet state="visible" name="👥 СОТРУДНИКИ" sheetId="5" r:id="rId9"/>
    <sheet state="visible" name="🔐 ДОСТУПЫ" sheetId="6" r:id="rId10"/>
  </sheets>
  <definedNames>
    <definedName hidden="1" localSheetId="2" name="_xlnm._FilterDatabase">'📈 АНАЛИТИКА'!$A$4:$H$37</definedName>
  </definedNames>
  <calcPr/>
</workbook>
</file>

<file path=xl/sharedStrings.xml><?xml version="1.0" encoding="utf-8"?>
<sst xmlns="http://schemas.openxmlformats.org/spreadsheetml/2006/main" count="531" uniqueCount="230">
  <si>
    <t>📊 ДАШБОРД — SMM СИСТЕМА</t>
  </si>
  <si>
    <t>ВСЕГО ПРОЕКТОВ</t>
  </si>
  <si>
    <t>В РАБОТЕ</t>
  </si>
  <si>
    <t>НА ПАУЗЕ</t>
  </si>
  <si>
    <t>ГОТОВО</t>
  </si>
  <si>
    <t>Проект</t>
  </si>
  <si>
    <t>Ответственный</t>
  </si>
  <si>
    <t>Этапы</t>
  </si>
  <si>
    <t>Платформа</t>
  </si>
  <si>
    <t>План рилсов</t>
  </si>
  <si>
    <t>Сделано</t>
  </si>
  <si>
    <t>% выполнения</t>
  </si>
  <si>
    <t>Прогресс</t>
  </si>
  <si>
    <t>📋 БАЗА ПРОЕКТОВ</t>
  </si>
  <si>
    <t>№</t>
  </si>
  <si>
    <t>Название проекта</t>
  </si>
  <si>
    <t>Этап</t>
  </si>
  <si>
    <t>Приоритет</t>
  </si>
  <si>
    <t>Сделано рилсов</t>
  </si>
  <si>
    <t>Дата начала</t>
  </si>
  <si>
    <t>Комментарий</t>
  </si>
  <si>
    <t>Производство мебели</t>
  </si>
  <si>
    <t>В работе</t>
  </si>
  <si>
    <t>Артем</t>
  </si>
  <si>
    <t>Instagram</t>
  </si>
  <si>
    <t>Трейдинг</t>
  </si>
  <si>
    <t>Мужской бренд одежды</t>
  </si>
  <si>
    <t>Ждет выплаты, Готов</t>
  </si>
  <si>
    <t>Дима Кичигин</t>
  </si>
  <si>
    <t>Instagram+ВК</t>
  </si>
  <si>
    <t>Картины по металлу</t>
  </si>
  <si>
    <t>Аппаратный массаж</t>
  </si>
  <si>
    <t>Ждет выплаты, Выкладывается</t>
  </si>
  <si>
    <t>Миша</t>
  </si>
  <si>
    <t>Покер еще новый, не знаю как маркировать</t>
  </si>
  <si>
    <t>Валера</t>
  </si>
  <si>
    <t>Личный бренд дети</t>
  </si>
  <si>
    <t>Елена</t>
  </si>
  <si>
    <t>Ресницы</t>
  </si>
  <si>
    <t>Обучение детей плаванию</t>
  </si>
  <si>
    <t>Рольставни</t>
  </si>
  <si>
    <t>Дизайн интерьера</t>
  </si>
  <si>
    <t>Туры в Сахалин</t>
  </si>
  <si>
    <t>Психолог новый</t>
  </si>
  <si>
    <t>Репетитор Английский</t>
  </si>
  <si>
    <t>На паузе</t>
  </si>
  <si>
    <t>Личный бренд девочка танцы</t>
  </si>
  <si>
    <t>Рубцов Александр</t>
  </si>
  <si>
    <t>Instagram+ТГ</t>
  </si>
  <si>
    <t>Идилия капельницы</t>
  </si>
  <si>
    <t>Риелтор Грозный Альбина</t>
  </si>
  <si>
    <t>Готов, Выплачено</t>
  </si>
  <si>
    <t>Саша Москва</t>
  </si>
  <si>
    <t>Диски</t>
  </si>
  <si>
    <t>Выплачено, Готов</t>
  </si>
  <si>
    <t>Товары оптом из Китая</t>
  </si>
  <si>
    <t>Покер Москва</t>
  </si>
  <si>
    <t>Авто в аренду Москва</t>
  </si>
  <si>
    <t>Марафон по религии</t>
  </si>
  <si>
    <t>Консалтинг ресторанов</t>
  </si>
  <si>
    <t>Роллы, пицца, суши</t>
  </si>
  <si>
    <t>Квизы</t>
  </si>
  <si>
    <t>ИИ-тренер</t>
  </si>
  <si>
    <t>На паузе, Отказ</t>
  </si>
  <si>
    <t>-------</t>
  </si>
  <si>
    <t>Покер Питер</t>
  </si>
  <si>
    <t>Клубника в шоколаде</t>
  </si>
  <si>
    <t>Выплачено, Отказ</t>
  </si>
  <si>
    <t>Александр Костя</t>
  </si>
  <si>
    <t>Аквапарк Москва</t>
  </si>
  <si>
    <t>Отказ</t>
  </si>
  <si>
    <t>Баер из Китая</t>
  </si>
  <si>
    <t>Константин</t>
  </si>
  <si>
    <t>Психолог</t>
  </si>
  <si>
    <t>Цветочный Минск</t>
  </si>
  <si>
    <t>Паша Рубцов</t>
  </si>
  <si>
    <t>Студия рисования</t>
  </si>
  <si>
    <t>Отказ, Выплачено</t>
  </si>
  <si>
    <t>Цветы</t>
  </si>
  <si>
    <t>Пойзон</t>
  </si>
  <si>
    <t>Выплачено, Готов, Отказ</t>
  </si>
  <si>
    <t>Выплачена часть Косте, Костя сделал 45 рилсов</t>
  </si>
  <si>
    <t>Риелтор Калининград</t>
  </si>
  <si>
    <t xml:space="preserve">                                                                                                                                       </t>
  </si>
  <si>
    <t>📈 АНАЛИТИКА ПО ПРОЕКТАМ</t>
  </si>
  <si>
    <t>Начало выкладки</t>
  </si>
  <si>
    <t>Просмотры</t>
  </si>
  <si>
    <t>Подписки</t>
  </si>
  <si>
    <t>Всего подписчиков (подписки - отмененные)</t>
  </si>
  <si>
    <t>Взаимодействия</t>
  </si>
  <si>
    <t>11.03-16.04</t>
  </si>
  <si>
    <t>17.03</t>
  </si>
  <si>
    <t>Александр</t>
  </si>
  <si>
    <t>10.03 - 02.04</t>
  </si>
  <si>
    <t>23.03-16.04</t>
  </si>
  <si>
    <t>-</t>
  </si>
  <si>
    <t>Покер Балашиха</t>
  </si>
  <si>
    <t>25.03- 16.04</t>
  </si>
  <si>
    <t>20.03-15.04</t>
  </si>
  <si>
    <t>10.04-16.04</t>
  </si>
  <si>
    <t>10.04-15.04</t>
  </si>
  <si>
    <t>1000+</t>
  </si>
  <si>
    <t>Пауза</t>
  </si>
  <si>
    <t>17.02-30.03</t>
  </si>
  <si>
    <t>10.02-30.03</t>
  </si>
  <si>
    <t>------</t>
  </si>
  <si>
    <t>📌 ДОП. ЗАДАЧИ И ПОРУЧЕНИЯ</t>
  </si>
  <si>
    <t>Задача</t>
  </si>
  <si>
    <t>Срок начала</t>
  </si>
  <si>
    <t>Срок окончания</t>
  </si>
  <si>
    <t>Все проекты</t>
  </si>
  <si>
    <t>Создать чек-листы и прикрепить в таблицу + прописать комментарии</t>
  </si>
  <si>
    <t>04.02.2026</t>
  </si>
  <si>
    <t>05.02.2026</t>
  </si>
  <si>
    <t>Александр Рубцов</t>
  </si>
  <si>
    <t>Готово</t>
  </si>
  <si>
    <t>Сделано!</t>
  </si>
  <si>
    <t>Назначить ответственных и начать выкладку по всем активным проектам</t>
  </si>
  <si>
    <t>15.02.2026</t>
  </si>
  <si>
    <t>В процессе</t>
  </si>
  <si>
    <t>Найти оператора в Иркутске за 10 тыс. на 4-5 часов с камерой и светом</t>
  </si>
  <si>
    <t>Выплатить Насте за религию</t>
  </si>
  <si>
    <t>Ждет Матвея</t>
  </si>
  <si>
    <t>БАДы</t>
  </si>
  <si>
    <t>Выплатить Диме за БАДы</t>
  </si>
  <si>
    <t>Поменять проект и поставить замену в ближайшее время</t>
  </si>
  <si>
    <t>12.02.2026</t>
  </si>
  <si>
    <t>13.02.2026</t>
  </si>
  <si>
    <t>👥 КОМАНДА</t>
  </si>
  <si>
    <t>Имя</t>
  </si>
  <si>
    <t>Фамилия</t>
  </si>
  <si>
    <t>Город</t>
  </si>
  <si>
    <t>Занятость</t>
  </si>
  <si>
    <t>Активные проекты</t>
  </si>
  <si>
    <t>Статус</t>
  </si>
  <si>
    <t>Рубцов</t>
  </si>
  <si>
    <t>Новоуральск</t>
  </si>
  <si>
    <t>Учеба + работа</t>
  </si>
  <si>
    <t>Девочка танцы</t>
  </si>
  <si>
    <t>Админ</t>
  </si>
  <si>
    <t>Работа</t>
  </si>
  <si>
    <t>Ресницы, Личный бренд дети</t>
  </si>
  <si>
    <t>Активен</t>
  </si>
  <si>
    <t>Дима</t>
  </si>
  <si>
    <t>Кичигин</t>
  </si>
  <si>
    <t>Свободен</t>
  </si>
  <si>
    <t>Марафон, Консалтинг, Диски, Квизы</t>
  </si>
  <si>
    <t>Москва</t>
  </si>
  <si>
    <t>Риелтор Грозный, Цветы</t>
  </si>
  <si>
    <t>НЕАктивен</t>
  </si>
  <si>
    <t>Екатеринбург</t>
  </si>
  <si>
    <t>Виктор</t>
  </si>
  <si>
    <t>Федосеев</t>
  </si>
  <si>
    <t>Обучение плаванию</t>
  </si>
  <si>
    <t>Паша</t>
  </si>
  <si>
    <t>Учеба</t>
  </si>
  <si>
    <t>Цветочный Минск, Студия рисования</t>
  </si>
  <si>
    <t>Виктория</t>
  </si>
  <si>
    <t>Нет ноутбука</t>
  </si>
  <si>
    <t>Стажер</t>
  </si>
  <si>
    <t>🔐 КОНФИДЕНЦИАЛЬНЫЕ ДАННЫЕ — ТОЛЬКО ДЛЯ РУКОВОДИТЕЛЯ</t>
  </si>
  <si>
    <t>⚠️  Этот лист содержит пароли и личные ссылки. Не давайте доступ сотрудникам. Скройте лист перед отправкой файла.</t>
  </si>
  <si>
    <t>Ссылка на TG-группу</t>
  </si>
  <si>
    <t>Логин / Email</t>
  </si>
  <si>
    <t>Пароль</t>
  </si>
  <si>
    <t>Примечание</t>
  </si>
  <si>
    <t>Столбец 1</t>
  </si>
  <si>
    <t>https://t.me/+95sY8wwOUvkwYWUy</t>
  </si>
  <si>
    <t>poker.nuts.moscow</t>
  </si>
  <si>
    <t>NutS1232123</t>
  </si>
  <si>
    <t>https://t.me/+XBMXNRpdGM9lZTBi</t>
  </si>
  <si>
    <t>ocmpie</t>
  </si>
  <si>
    <t>Лцлцзц8ц8ц726цыдyeщц9ستزصضعىشرسلهhav&amp;1quoهستيريهлhрyakЦойويصح@&amp;</t>
  </si>
  <si>
    <t>Код: 24015867</t>
  </si>
  <si>
    <t>https://t.me/+L_NlJai8Um1mM2Yy</t>
  </si>
  <si>
    <t>rescom_prokatmsk</t>
  </si>
  <si>
    <t>rescomspb2021</t>
  </si>
  <si>
    <t>https://t.me/+JtqMzj_lKmYwNGM6</t>
  </si>
  <si>
    <t>alex.queendance</t>
  </si>
  <si>
    <t>Sasa2408</t>
  </si>
  <si>
    <t>https://t.me/+LgoX66sDcMAzZWEy</t>
  </si>
  <si>
    <t>dmitriy.rest</t>
  </si>
  <si>
    <t>chef_dima97</t>
  </si>
  <si>
    <t>https://t.me/+pZGMqPmSCfYxNTk6</t>
  </si>
  <si>
    <t>giotelli.brand</t>
  </si>
  <si>
    <t>raf159159raf</t>
  </si>
  <si>
    <t>https://t.me/+aVYFzGvo6MpjOTIy</t>
  </si>
  <si>
    <t>pokraska__diskov</t>
  </si>
  <si>
    <t>https://t.me/+xpiXoudxuEw2MmFi</t>
  </si>
  <si>
    <t>albina.taemkalfa</t>
  </si>
  <si>
    <t>kalfa123</t>
  </si>
  <si>
    <t>https://t.me/+PM6Q2Fubj5swY2Iy</t>
  </si>
  <si>
    <t>https://t.me/+K67FdYaPjSo0NmRi</t>
  </si>
  <si>
    <t>artemovideti@gmail.com</t>
  </si>
  <si>
    <t>Qwer1234!@#$</t>
  </si>
  <si>
    <t>https://t.me/+L-1J81nsXr42N2Zi</t>
  </si>
  <si>
    <t>VSJ-25-3st?</t>
  </si>
  <si>
    <t>https://t.me/+NxybtOC8j5I3NDYy</t>
  </si>
  <si>
    <t>fabrika_proizvodstvo</t>
  </si>
  <si>
    <t>13022007Maryamm</t>
  </si>
  <si>
    <t>https://t.me/+qJlVwg7gNNAyN2Yy</t>
  </si>
  <si>
    <t>vayvichenskiy</t>
  </si>
  <si>
    <t>pv123pv!</t>
  </si>
  <si>
    <t>secret.lpg</t>
  </si>
  <si>
    <t>MRT123mrt!</t>
  </si>
  <si>
    <t>https://t.me/+fpE1h4VgBmA1NWYy</t>
  </si>
  <si>
    <t>Kosatka_swim</t>
  </si>
  <si>
    <t>RUS-lan123/</t>
  </si>
  <si>
    <t>https://t.me/+NwgsUIprXj81ZWZi</t>
  </si>
  <si>
    <t>komkovdenis</t>
  </si>
  <si>
    <t>10K287ek50</t>
  </si>
  <si>
    <t>https://t.me/+x1o0ngZGpINkMGQy</t>
  </si>
  <si>
    <t>Sofi_rina582</t>
  </si>
  <si>
    <t>1021994Zz@</t>
  </si>
  <si>
    <t>Покер еще новый</t>
  </si>
  <si>
    <t>https://t.me/+7HP1WnxbuacyNDhi</t>
  </si>
  <si>
    <t>yaroslavl100kittov@yandex.ru</t>
  </si>
  <si>
    <t>100Kitt))</t>
  </si>
  <si>
    <t>https://t.me/+JIyEPovWmYs0MDIy</t>
  </si>
  <si>
    <t>mkvisionn</t>
  </si>
  <si>
    <t>PriVet2026fromFRy!?</t>
  </si>
  <si>
    <t>https://t.me/+eerWvaPTnFhmNTcy</t>
  </si>
  <si>
    <t>posahalinu.ru</t>
  </si>
  <si>
    <t>Cf[nthhf88+</t>
  </si>
  <si>
    <t>https://t.me/+lS53JnmuWHtjODM6</t>
  </si>
  <si>
    <t>malynovan@gmail.com</t>
  </si>
  <si>
    <t>!MNa87654321</t>
  </si>
  <si>
    <t>https://t.me/+y4clgj6QrRxlODAy</t>
  </si>
  <si>
    <t>ZaurFinance71@gmail.com</t>
  </si>
  <si>
    <t>Finansist71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</si>
</sst>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\%"/>
    <numFmt numFmtId="165" formatCode="dd.mm"/>
  </numFmts>
  <fonts count="25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9.0"/>
      <color rgb="FF888888"/>
      <name val="Arial"/>
    </font>
    <font>
      <b/>
      <sz val="22.0"/>
      <color rgb="FF0F3460"/>
      <name val="Arial"/>
    </font>
    <font>
      <b/>
      <sz val="22.0"/>
      <color rgb="FF3498DB"/>
      <name val="Arial"/>
    </font>
    <font>
      <b/>
      <sz val="22.0"/>
      <color rgb="FFFF9800"/>
      <name val="Arial"/>
    </font>
    <font>
      <b/>
      <sz val="22.0"/>
      <color rgb="FF4CAF50"/>
      <name val="Arial"/>
    </font>
    <font>
      <b/>
      <sz val="10.0"/>
      <color rgb="FFFFFFFF"/>
      <name val="Arial"/>
    </font>
    <font>
      <sz val="10.0"/>
      <color rgb="FF333333"/>
      <name val="Arial"/>
    </font>
    <font>
      <b/>
      <sz val="16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Calibri"/>
      <scheme val="minor"/>
    </font>
    <font>
      <sz val="10.0"/>
      <color rgb="FFFF9900"/>
      <name val="Arial"/>
    </font>
    <font>
      <b/>
      <sz val="10.0"/>
      <color rgb="FF2E7D32"/>
      <name val="Arial"/>
    </font>
    <font>
      <b/>
      <sz val="14.0"/>
      <color rgb="FFFFFFFF"/>
      <name val="Arial"/>
    </font>
    <font>
      <b/>
      <sz val="10.0"/>
      <color rgb="FFB71C1C"/>
      <name val="Arial"/>
    </font>
    <font>
      <b/>
      <sz val="11.0"/>
      <color rgb="FFFFFFFF"/>
      <name val="Arial"/>
    </font>
    <font>
      <color rgb="FF000000"/>
      <name val="Arial"/>
    </font>
    <font>
      <u/>
      <color rgb="FF000000"/>
      <name val="Arial"/>
    </font>
    <font>
      <i/>
      <color rgb="FF000000"/>
      <name val="Arial"/>
    </font>
    <font>
      <sz val="11.0"/>
      <color rgb="FF000000"/>
      <name val="Calibri"/>
    </font>
    <font>
      <color rgb="FF000000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AFAFA"/>
        <bgColor rgb="FFFAFAFA"/>
      </patternFill>
    </fill>
    <fill>
      <patternFill patternType="solid">
        <fgColor rgb="FF0F3460"/>
        <bgColor rgb="FF0F3460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F9CB9C"/>
        <bgColor rgb="FFF9CB9C"/>
      </patternFill>
    </fill>
    <fill>
      <patternFill patternType="solid">
        <fgColor rgb="FFE8F5E9"/>
        <bgColor rgb="FFE8F5E9"/>
      </patternFill>
    </fill>
    <fill>
      <patternFill patternType="solid">
        <fgColor rgb="FFE94560"/>
        <bgColor rgb="FFE94560"/>
      </patternFill>
    </fill>
    <fill>
      <patternFill patternType="solid">
        <fgColor rgb="FFFFEBEE"/>
        <bgColor rgb="FFFFEBEE"/>
      </patternFill>
    </fill>
    <fill>
      <patternFill patternType="solid">
        <fgColor rgb="FF1F3864"/>
        <bgColor rgb="FF1F3864"/>
      </patternFill>
    </fill>
    <fill>
      <patternFill patternType="solid">
        <fgColor rgb="FFF3F3F3"/>
        <bgColor rgb="FFF3F3F3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medium">
        <color rgb="FF0F3460"/>
      </left>
      <top style="thin">
        <color rgb="FFE8E8E8"/>
      </top>
      <bottom/>
    </border>
    <border>
      <top style="thin">
        <color rgb="FFE8E8E8"/>
      </top>
      <bottom/>
    </border>
    <border>
      <right style="thin">
        <color rgb="FFE8E8E8"/>
      </right>
      <top style="thin">
        <color rgb="FFE8E8E8"/>
      </top>
      <bottom/>
    </border>
    <border>
      <left style="medium">
        <color rgb="FF3498DB"/>
      </left>
      <top style="thin">
        <color rgb="FFE8E8E8"/>
      </top>
      <bottom/>
    </border>
    <border>
      <left style="medium">
        <color rgb="FFFF9800"/>
      </left>
      <top style="thin">
        <color rgb="FFE8E8E8"/>
      </top>
      <bottom/>
    </border>
    <border>
      <left style="medium">
        <color rgb="FF4CAF50"/>
      </left>
      <top style="thin">
        <color rgb="FFE8E8E8"/>
      </top>
      <bottom/>
    </border>
    <border>
      <left style="medium">
        <color rgb="FF0F3460"/>
      </left>
      <top/>
      <bottom style="thin">
        <color rgb="FFE8E8E8"/>
      </bottom>
    </border>
    <border>
      <top/>
      <bottom style="thin">
        <color rgb="FFE8E8E8"/>
      </bottom>
    </border>
    <border>
      <right style="thin">
        <color rgb="FFE8E8E8"/>
      </right>
      <top/>
      <bottom style="thin">
        <color rgb="FFE8E8E8"/>
      </bottom>
    </border>
    <border>
      <left style="medium">
        <color rgb="FF3498DB"/>
      </left>
      <top/>
      <bottom style="thin">
        <color rgb="FFE8E8E8"/>
      </bottom>
    </border>
    <border>
      <left style="medium">
        <color rgb="FFFF9800"/>
      </left>
      <top/>
      <bottom style="thin">
        <color rgb="FFE8E8E8"/>
      </bottom>
    </border>
    <border>
      <left style="medium">
        <color rgb="FF4CAF50"/>
      </left>
      <top/>
      <bottom style="thin">
        <color rgb="FFE8E8E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ont="1">
      <alignment horizontal="center" shrinkToFit="0" vertical="center" wrapText="0"/>
    </xf>
    <xf borderId="8" fillId="3" fontId="3" numFmtId="0" xfId="0" applyAlignment="1" applyBorder="1" applyFont="1">
      <alignment horizontal="center" shrinkToFit="0" vertical="center" wrapText="0"/>
    </xf>
    <xf borderId="9" fillId="3" fontId="3" numFmtId="0" xfId="0" applyAlignment="1" applyBorder="1" applyFont="1">
      <alignment horizontal="center" shrinkToFit="0" vertical="center" wrapText="0"/>
    </xf>
    <xf borderId="10" fillId="3" fontId="4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3" fontId="5" numFmtId="0" xfId="0" applyAlignment="1" applyBorder="1" applyFont="1">
      <alignment horizontal="center" shrinkToFit="0" vertical="center" wrapText="0"/>
    </xf>
    <xf borderId="14" fillId="3" fontId="6" numFmtId="0" xfId="0" applyAlignment="1" applyBorder="1" applyFont="1">
      <alignment horizontal="center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16" fillId="4" fontId="8" numFmtId="0" xfId="0" applyAlignment="1" applyBorder="1" applyFill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6" fillId="5" fontId="9" numFmtId="0" xfId="0" applyAlignment="1" applyBorder="1" applyFill="1" applyFont="1">
      <alignment horizontal="left" shrinkToFit="0" vertical="center" wrapText="0"/>
    </xf>
    <xf borderId="16" fillId="5" fontId="9" numFmtId="0" xfId="0" applyAlignment="1" applyBorder="1" applyFont="1">
      <alignment horizontal="center" shrinkToFit="0" vertical="center" wrapText="0"/>
    </xf>
    <xf borderId="16" fillId="5" fontId="9" numFmtId="164" xfId="0" applyAlignment="1" applyBorder="1" applyFont="1" applyNumberFormat="1">
      <alignment horizontal="center" shrinkToFit="0" vertical="center" wrapText="0"/>
    </xf>
    <xf borderId="16" fillId="6" fontId="9" numFmtId="0" xfId="0" applyAlignment="1" applyBorder="1" applyFill="1" applyFont="1">
      <alignment horizontal="left" shrinkToFit="0" vertical="center" wrapText="0"/>
    </xf>
    <xf borderId="16" fillId="6" fontId="9" numFmtId="0" xfId="0" applyAlignment="1" applyBorder="1" applyFont="1">
      <alignment horizontal="center" shrinkToFit="0" vertical="center" wrapText="0"/>
    </xf>
    <xf borderId="16" fillId="6" fontId="9" numFmtId="164" xfId="0" applyAlignment="1" applyBorder="1" applyFont="1" applyNumberForma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6" fillId="5" fontId="9" numFmtId="0" xfId="0" applyAlignment="1" applyBorder="1" applyFont="1">
      <alignment horizontal="center" readingOrder="0" shrinkToFit="0" vertical="center" wrapText="0"/>
    </xf>
    <xf borderId="16" fillId="5" fontId="9" numFmtId="0" xfId="0" applyAlignment="1" applyBorder="1" applyFont="1">
      <alignment horizontal="left" readingOrder="0" shrinkToFit="0" vertical="center" wrapText="0"/>
    </xf>
    <xf borderId="16" fillId="6" fontId="9" numFmtId="0" xfId="0" applyAlignment="1" applyBorder="1" applyFont="1">
      <alignment readingOrder="0" shrinkToFit="0" vertical="center" wrapText="0"/>
    </xf>
    <xf borderId="16" fillId="6" fontId="9" numFmtId="0" xfId="0" applyAlignment="1" applyBorder="1" applyFont="1">
      <alignment readingOrder="0" shrinkToFit="0" vertical="center" wrapText="0"/>
    </xf>
    <xf borderId="16" fillId="5" fontId="9" numFmtId="0" xfId="0" applyAlignment="1" applyBorder="1" applyFont="1">
      <alignment horizontal="left" shrinkToFit="0" vertical="center" wrapText="0"/>
    </xf>
    <xf borderId="16" fillId="6" fontId="9" numFmtId="0" xfId="0" applyAlignment="1" applyBorder="1" applyFont="1">
      <alignment horizontal="center" readingOrder="0" shrinkToFit="0" vertical="center" wrapText="0"/>
    </xf>
    <xf borderId="16" fillId="6" fontId="9" numFmtId="0" xfId="0" applyAlignment="1" applyBorder="1" applyFont="1">
      <alignment horizontal="left" readingOrder="0" shrinkToFit="0" vertical="center" wrapText="0"/>
    </xf>
    <xf borderId="16" fillId="6" fontId="12" numFmtId="164" xfId="0" applyAlignment="1" applyBorder="1" applyFont="1" applyNumberFormat="1">
      <alignment shrinkToFit="0" vertical="center" wrapText="0"/>
    </xf>
    <xf borderId="16" fillId="5" fontId="9" numFmtId="165" xfId="0" applyAlignment="1" applyBorder="1" applyFont="1" applyNumberFormat="1">
      <alignment horizontal="left" readingOrder="0" shrinkToFit="0" vertical="center" wrapText="0"/>
    </xf>
    <xf borderId="16" fillId="6" fontId="9" numFmtId="0" xfId="0" applyAlignment="1" applyBorder="1" applyFont="1">
      <alignment horizontal="left" shrinkToFit="0" vertical="center" wrapText="0"/>
    </xf>
    <xf borderId="16" fillId="5" fontId="9" numFmtId="0" xfId="0" applyAlignment="1" applyBorder="1" applyFont="1">
      <alignment readingOrder="0" shrinkToFit="0" vertical="center" wrapText="0"/>
    </xf>
    <xf borderId="16" fillId="6" fontId="9" numFmtId="0" xfId="0" applyAlignment="1" applyBorder="1" applyFont="1">
      <alignment shrinkToFit="0" vertical="center" wrapText="0"/>
    </xf>
    <xf borderId="16" fillId="6" fontId="9" numFmtId="0" xfId="0" applyAlignment="1" applyBorder="1" applyFont="1">
      <alignment horizontal="center" shrinkToFit="0" vertical="center" wrapText="0"/>
    </xf>
    <xf borderId="16" fillId="5" fontId="9" numFmtId="0" xfId="0" applyAlignment="1" applyBorder="1" applyFont="1">
      <alignment readingOrder="0" shrinkToFit="0" vertical="center" wrapText="0"/>
    </xf>
    <xf borderId="16" fillId="5" fontId="9" numFmtId="0" xfId="0" applyAlignment="1" applyBorder="1" applyFont="1">
      <alignment horizontal="center" shrinkToFit="0" vertical="center" wrapText="0"/>
    </xf>
    <xf borderId="16" fillId="5" fontId="12" numFmtId="164" xfId="0" applyAlignment="1" applyBorder="1" applyFont="1" applyNumberFormat="1">
      <alignment shrinkToFit="0" vertical="center" wrapText="0"/>
    </xf>
    <xf borderId="16" fillId="5" fontId="9" numFmtId="0" xfId="0" applyAlignment="1" applyBorder="1" applyFont="1">
      <alignment shrinkToFit="0" vertical="center" wrapText="0"/>
    </xf>
    <xf borderId="16" fillId="5" fontId="9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readingOrder="0"/>
    </xf>
    <xf borderId="16" fillId="7" fontId="9" numFmtId="0" xfId="0" applyAlignment="1" applyBorder="1" applyFill="1" applyFont="1">
      <alignment horizontal="left" shrinkToFit="0" vertical="center" wrapText="0"/>
    </xf>
    <xf borderId="16" fillId="7" fontId="9" numFmtId="0" xfId="0" applyAlignment="1" applyBorder="1" applyFont="1">
      <alignment shrinkToFit="0" vertical="center" wrapText="0"/>
    </xf>
    <xf borderId="16" fillId="7" fontId="9" numFmtId="165" xfId="0" applyAlignment="1" applyBorder="1" applyFont="1" applyNumberFormat="1">
      <alignment horizontal="left" readingOrder="0" shrinkToFit="0" vertical="center" wrapText="0"/>
    </xf>
    <xf borderId="16" fillId="7" fontId="9" numFmtId="0" xfId="0" applyAlignment="1" applyBorder="1" applyFont="1">
      <alignment horizontal="center" readingOrder="0" shrinkToFit="0" vertical="center" wrapText="0"/>
    </xf>
    <xf borderId="16" fillId="7" fontId="9" numFmtId="0" xfId="0" applyAlignment="1" applyBorder="1" applyFont="1">
      <alignment horizontal="left" readingOrder="0" shrinkToFit="0" vertical="center" wrapText="0"/>
    </xf>
    <xf borderId="0" fillId="7" fontId="14" numFmtId="0" xfId="0" applyFont="1"/>
    <xf borderId="16" fillId="7" fontId="9" numFmtId="0" xfId="0" applyAlignment="1" applyBorder="1" applyFont="1">
      <alignment readingOrder="0" shrinkToFit="0" vertical="center" wrapText="0"/>
    </xf>
    <xf borderId="16" fillId="7" fontId="15" numFmtId="0" xfId="0" applyAlignment="1" applyBorder="1" applyFont="1">
      <alignment horizontal="left" readingOrder="0" shrinkToFit="0" vertical="center" wrapText="0"/>
    </xf>
    <xf borderId="16" fillId="5" fontId="9" numFmtId="0" xfId="0" applyAlignment="1" applyBorder="1" applyFont="1">
      <alignment horizontal="left" shrinkToFit="0" vertical="center" wrapText="1"/>
    </xf>
    <xf borderId="16" fillId="5" fontId="8" numFmtId="0" xfId="0" applyAlignment="1" applyBorder="1" applyFont="1">
      <alignment horizontal="left" readingOrder="0" shrinkToFit="0" vertical="center" wrapText="0"/>
    </xf>
    <xf borderId="16" fillId="6" fontId="9" numFmtId="0" xfId="0" applyAlignment="1" applyBorder="1" applyFont="1">
      <alignment horizontal="left" shrinkToFit="0" vertical="center" wrapText="1"/>
    </xf>
    <xf borderId="16" fillId="5" fontId="8" numFmtId="0" xfId="0" applyAlignment="1" applyBorder="1" applyFont="1">
      <alignment horizontal="left" shrinkToFit="0" vertical="center" wrapText="0"/>
    </xf>
    <xf borderId="16" fillId="8" fontId="16" numFmtId="0" xfId="0" applyAlignment="1" applyBorder="1" applyFill="1" applyFont="1">
      <alignment readingOrder="0" shrinkToFit="0" vertical="center" wrapText="0"/>
    </xf>
    <xf borderId="16" fillId="8" fontId="16" numFmtId="0" xfId="0" applyAlignment="1" applyBorder="1" applyFont="1">
      <alignment readingOrder="0" shrinkToFit="0" vertical="center" wrapText="0"/>
    </xf>
    <xf borderId="1" fillId="9" fontId="17" numFmtId="0" xfId="0" applyAlignment="1" applyBorder="1" applyFill="1" applyFont="1">
      <alignment horizontal="center" shrinkToFit="0" vertical="center" wrapText="0"/>
    </xf>
    <xf borderId="1" fillId="10" fontId="18" numFmtId="0" xfId="0" applyAlignment="1" applyBorder="1" applyFill="1" applyFont="1">
      <alignment horizontal="left" shrinkToFit="0" vertical="center" wrapText="0"/>
    </xf>
    <xf borderId="17" fillId="11" fontId="19" numFmtId="0" xfId="0" applyAlignment="1" applyBorder="1" applyFill="1" applyFont="1">
      <alignment horizontal="center" readingOrder="0" shrinkToFit="0" vertical="center" wrapText="0"/>
    </xf>
    <xf borderId="0" fillId="11" fontId="19" numFmtId="0" xfId="0" applyAlignment="1" applyFont="1">
      <alignment horizontal="center" readingOrder="0" shrinkToFit="0" vertical="center" wrapText="0"/>
    </xf>
    <xf borderId="17" fillId="12" fontId="20" numFmtId="0" xfId="0" applyAlignment="1" applyBorder="1" applyFill="1" applyFont="1">
      <alignment readingOrder="0" shrinkToFit="0" vertical="center" wrapText="0"/>
    </xf>
    <xf borderId="17" fillId="12" fontId="21" numFmtId="0" xfId="0" applyAlignment="1" applyBorder="1" applyFont="1">
      <alignment readingOrder="0" shrinkToFit="0" vertical="center" wrapText="0"/>
    </xf>
    <xf borderId="17" fillId="12" fontId="22" numFmtId="0" xfId="0" applyAlignment="1" applyBorder="1" applyFont="1">
      <alignment readingOrder="0" shrinkToFit="0" vertical="center" wrapText="0"/>
    </xf>
    <xf borderId="0" fillId="12" fontId="22" numFmtId="0" xfId="0" applyAlignment="1" applyFont="1">
      <alignment readingOrder="0" shrinkToFit="0" vertical="center" wrapText="0"/>
    </xf>
    <xf borderId="17" fillId="12" fontId="23" numFmtId="0" xfId="0" applyAlignment="1" applyBorder="1" applyFont="1">
      <alignment shrinkToFit="0" vertical="center" wrapText="0"/>
    </xf>
    <xf borderId="0" fillId="12" fontId="23" numFmtId="0" xfId="0" applyAlignment="1" applyFont="1">
      <alignment shrinkToFit="0" vertical="center" wrapText="0"/>
    </xf>
    <xf borderId="17" fillId="12" fontId="23" numFmtId="0" xfId="0" applyAlignment="1" applyBorder="1" applyFon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12" fontId="20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📋 ПРОЕКТ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📈 АНАЛИТИ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👥 СОТРУДНИК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🔐 ДОСТУПЫ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Прогресс по проектам (%)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% выполнения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'📊 ДАШБОРД'!$A$8:$A$34</c:f>
            </c:strRef>
          </c:cat>
          <c:val>
            <c:numRef>
              <c:f>'📊 ДАШБОРД'!$G$8:$G$34</c:f>
              <c:numCache/>
            </c:numRef>
          </c:val>
        </c:ser>
        <c:axId val="1599814342"/>
        <c:axId val="489163025"/>
      </c:barChart>
      <c:catAx>
        <c:axId val="15998143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89163025"/>
      </c:catAx>
      <c:valAx>
        <c:axId val="4891630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Проект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99814342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133350</xdr:rowOff>
    </xdr:from>
    <xdr:ext cx="8877300" cy="68008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K40" displayName="БАЗА_ПРОЕКТОВ" name="БАЗА_ПРОЕКТОВ" id="1">
  <tableColumns count="11">
    <tableColumn name="№" id="1"/>
    <tableColumn name="Название проекта" id="2"/>
    <tableColumn name="Этап" id="3"/>
    <tableColumn name="Ответственный" id="4"/>
    <tableColumn name="Платформа" id="5"/>
    <tableColumn name="Приоритет" id="6"/>
    <tableColumn name="План рилсов" id="7"/>
    <tableColumn name="Сделано рилсов" id="8"/>
    <tableColumn name="% выполнения" id="9"/>
    <tableColumn name="Дата начала" id="10"/>
    <tableColumn name="Комментарий" id="11"/>
  </tableColumns>
  <tableStyleInfo name="📋 ПРОЕКТЫ-style" showColumnStripes="0" showFirstColumn="1" showLastColumn="1" showRowStripes="1"/>
</table>
</file>

<file path=xl/tables/table2.xml><?xml version="1.0" encoding="utf-8"?>
<table xmlns="http://schemas.openxmlformats.org/spreadsheetml/2006/main" ref="A4:H37" displayName="АНАЛИТИКА_ПО_ПРОЕКТАМ" name="АНАЛИТИКА_ПО_ПРОЕКТАМ" id="2">
  <autoFilter ref="$A$4:$H$37"/>
  <tableColumns count="8">
    <tableColumn name="Проект" id="1"/>
    <tableColumn name="Ответственный" id="2"/>
    <tableColumn name="Начало выкладки" id="3"/>
    <tableColumn name="Просмотры" id="4"/>
    <tableColumn name="Подписки" id="5"/>
    <tableColumn name="Всего подписчиков (подписки - отмененные)" id="6"/>
    <tableColumn name="Взаимодействия" id="7"/>
    <tableColumn name="Комментарий" id="8"/>
  </tableColumns>
  <tableStyleInfo name="📈 АНАЛИТИКА-style" showColumnStripes="0" showFirstColumn="1" showLastColumn="1" showRowStripes="1"/>
</table>
</file>

<file path=xl/tables/table3.xml><?xml version="1.0" encoding="utf-8"?>
<table xmlns="http://schemas.openxmlformats.org/spreadsheetml/2006/main" ref="A4:G15" displayName="Команда" name="Команда" id="3">
  <tableColumns count="7">
    <tableColumn name="Имя" id="1"/>
    <tableColumn name="Фамилия" id="2"/>
    <tableColumn name="Город" id="3"/>
    <tableColumn name="Занятость" id="4"/>
    <tableColumn name="Активные проекты" id="5"/>
    <tableColumn name="Статус" id="6"/>
    <tableColumn name="Комментарий" id="7"/>
  </tableColumns>
  <tableStyleInfo name="👥 СОТРУДНИКИ-style" showColumnStripes="0" showFirstColumn="1" showLastColumn="1" showRowStripes="1"/>
</table>
</file>

<file path=xl/tables/table4.xml><?xml version="1.0" encoding="utf-8"?>
<table xmlns="http://schemas.openxmlformats.org/spreadsheetml/2006/main" ref="A6:F29" displayName="КОНФИДЕНЦИАЛЬНЫЕ_ДАННЫЕ" name="КОНФИДЕНЦИАЛЬНЫЕ_ДАННЫЕ" id="4">
  <tableColumns count="6">
    <tableColumn name="Проект" id="1"/>
    <tableColumn name="Ссылка на TG-группу" id="2"/>
    <tableColumn name="Логин / Email" id="3"/>
    <tableColumn name="Пароль" id="4"/>
    <tableColumn name="Примечание" id="5"/>
    <tableColumn name="Столбец 1" id="6"/>
  </tableColumns>
  <tableStyleInfo name="🔐 ДОСТУП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://posahalinu.ru" TargetMode="External"/><Relationship Id="rId11" Type="http://schemas.openxmlformats.org/officeDocument/2006/relationships/hyperlink" Target="https://t.me/+L-1J81nsXr42N2Zi" TargetMode="External"/><Relationship Id="rId22" Type="http://schemas.openxmlformats.org/officeDocument/2006/relationships/hyperlink" Target="https://t.me/+y4clgj6QrRxlODAy" TargetMode="External"/><Relationship Id="rId10" Type="http://schemas.openxmlformats.org/officeDocument/2006/relationships/hyperlink" Target="https://t.me/+K67FdYaPjSo0NmRi" TargetMode="External"/><Relationship Id="rId21" Type="http://schemas.openxmlformats.org/officeDocument/2006/relationships/hyperlink" Target="https://t.me/+lS53JnmuWHtjODM6" TargetMode="External"/><Relationship Id="rId13" Type="http://schemas.openxmlformats.org/officeDocument/2006/relationships/hyperlink" Target="https://t.me/+qJlVwg7gNNAyN2Yy" TargetMode="External"/><Relationship Id="rId12" Type="http://schemas.openxmlformats.org/officeDocument/2006/relationships/hyperlink" Target="https://t.me/+NxybtOC8j5I3NDYy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t.me/+95sY8wwOUvkwYWUy" TargetMode="External"/><Relationship Id="rId2" Type="http://schemas.openxmlformats.org/officeDocument/2006/relationships/hyperlink" Target="https://t.me/+XBMXNRpdGM9lZTBi" TargetMode="External"/><Relationship Id="rId3" Type="http://schemas.openxmlformats.org/officeDocument/2006/relationships/hyperlink" Target="https://t.me/+L_NlJai8Um1mM2Yy" TargetMode="External"/><Relationship Id="rId4" Type="http://schemas.openxmlformats.org/officeDocument/2006/relationships/hyperlink" Target="https://t.me/+JtqMzj_lKmYwNGM6" TargetMode="External"/><Relationship Id="rId9" Type="http://schemas.openxmlformats.org/officeDocument/2006/relationships/hyperlink" Target="https://t.me/+PM6Q2Fubj5swY2Iy" TargetMode="External"/><Relationship Id="rId15" Type="http://schemas.openxmlformats.org/officeDocument/2006/relationships/hyperlink" Target="https://t.me/+NwgsUIprXj81ZWZi" TargetMode="External"/><Relationship Id="rId14" Type="http://schemas.openxmlformats.org/officeDocument/2006/relationships/hyperlink" Target="https://t.me/+fpE1h4VgBmA1NWYy" TargetMode="External"/><Relationship Id="rId25" Type="http://schemas.openxmlformats.org/officeDocument/2006/relationships/table" Target="../tables/table4.xml"/><Relationship Id="rId17" Type="http://schemas.openxmlformats.org/officeDocument/2006/relationships/hyperlink" Target="https://t.me/+7HP1WnxbuacyNDhi" TargetMode="External"/><Relationship Id="rId16" Type="http://schemas.openxmlformats.org/officeDocument/2006/relationships/hyperlink" Target="https://t.me/+x1o0ngZGpINkMGQy" TargetMode="External"/><Relationship Id="rId5" Type="http://schemas.openxmlformats.org/officeDocument/2006/relationships/hyperlink" Target="https://t.me/+LgoX66sDcMAzZWEy" TargetMode="External"/><Relationship Id="rId19" Type="http://schemas.openxmlformats.org/officeDocument/2006/relationships/hyperlink" Target="https://t.me/+eerWvaPTnFhmNTcy" TargetMode="External"/><Relationship Id="rId6" Type="http://schemas.openxmlformats.org/officeDocument/2006/relationships/hyperlink" Target="https://t.me/+pZGMqPmSCfYxNTk6" TargetMode="External"/><Relationship Id="rId18" Type="http://schemas.openxmlformats.org/officeDocument/2006/relationships/hyperlink" Target="https://t.me/+JIyEPovWmYs0MDIy" TargetMode="External"/><Relationship Id="rId7" Type="http://schemas.openxmlformats.org/officeDocument/2006/relationships/hyperlink" Target="https://t.me/+aVYFzGvo6MpjOTIy" TargetMode="External"/><Relationship Id="rId8" Type="http://schemas.openxmlformats.org/officeDocument/2006/relationships/hyperlink" Target="https://t.me/+xpiXoudxuEw2Mm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3" width="30.57"/>
    <col customWidth="1" min="4" max="4" width="14.0"/>
    <col customWidth="1" min="5" max="5" width="12.0"/>
    <col customWidth="1" min="6" max="6" width="10.0"/>
    <col customWidth="1" min="7" max="8" width="13.0"/>
    <col customWidth="1" min="9" max="26" width="8.71"/>
  </cols>
  <sheetData>
    <row r="1" ht="7.5" customHeight="1"/>
    <row r="2" ht="45.0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7.5" customHeight="1"/>
    <row r="4" ht="21.75" customHeight="1">
      <c r="A4" s="4" t="s">
        <v>1</v>
      </c>
      <c r="B4" s="5"/>
      <c r="C4" s="6"/>
      <c r="E4" s="7" t="s">
        <v>2</v>
      </c>
      <c r="F4" s="5"/>
      <c r="G4" s="6"/>
      <c r="I4" s="8" t="s">
        <v>3</v>
      </c>
      <c r="J4" s="5"/>
      <c r="K4" s="6"/>
      <c r="M4" s="9" t="s">
        <v>4</v>
      </c>
      <c r="N4" s="5"/>
      <c r="O4" s="6"/>
    </row>
    <row r="5" ht="37.5" customHeight="1">
      <c r="A5" s="10">
        <v>27.0</v>
      </c>
      <c r="B5" s="11"/>
      <c r="C5" s="12"/>
      <c r="E5" s="13">
        <f>COUNTIF('📋 ПРОЕКТЫ'!C7:C13,"В работе")</f>
        <v>2</v>
      </c>
      <c r="F5" s="11"/>
      <c r="G5" s="12"/>
      <c r="I5" s="14">
        <f>COUNTIF('📋 ПРОЕКТЫ'!C7:C13,"На паузе")</f>
        <v>0</v>
      </c>
      <c r="J5" s="11"/>
      <c r="K5" s="12"/>
      <c r="M5" s="15">
        <f>COUNTIF('📋 ПРОЕКТЫ'!C7:C13,"Готов")</f>
        <v>0</v>
      </c>
      <c r="N5" s="11"/>
      <c r="O5" s="12"/>
    </row>
    <row r="6" ht="18.0" customHeight="1"/>
    <row r="7" ht="27.75" customHeight="1">
      <c r="A7" s="16" t="s">
        <v>5</v>
      </c>
      <c r="B7" s="16" t="s">
        <v>6</v>
      </c>
      <c r="C7" s="17" t="s">
        <v>7</v>
      </c>
      <c r="D7" s="16" t="s">
        <v>8</v>
      </c>
      <c r="E7" s="16" t="s">
        <v>9</v>
      </c>
      <c r="F7" s="16" t="s">
        <v>10</v>
      </c>
      <c r="G7" s="16" t="s">
        <v>11</v>
      </c>
      <c r="H7" s="16" t="s">
        <v>12</v>
      </c>
    </row>
    <row r="8" ht="21.75" customHeight="1">
      <c r="A8" s="18" t="str">
        <f>'📋 ПРОЕКТЫ'!B24</f>
        <v>Покер Москва</v>
      </c>
      <c r="B8" s="18" t="str">
        <f>'📋 ПРОЕКТЫ'!D24</f>
        <v>Валера</v>
      </c>
      <c r="C8" s="18" t="str">
        <f>'📋 ПРОЕКТЫ'!C24</f>
        <v>Выплачено, Готов</v>
      </c>
      <c r="D8" s="18" t="str">
        <f>'📋 ПРОЕКТЫ'!E24</f>
        <v>Instagram</v>
      </c>
      <c r="E8" s="19">
        <f>'📋 ПРОЕКТЫ'!G24</f>
        <v>80</v>
      </c>
      <c r="F8" s="19">
        <f>'📋 ПРОЕКТЫ'!H24</f>
        <v>80</v>
      </c>
      <c r="G8" s="20">
        <f>'📋 ПРОЕКТЫ'!I24</f>
        <v>100</v>
      </c>
      <c r="H8" s="20">
        <f>'📋 ПРОЕКТЫ'!I24</f>
        <v>100</v>
      </c>
    </row>
    <row r="9" ht="21.75" customHeight="1">
      <c r="A9" s="21" t="str">
        <f>'📋 ПРОЕКТЫ'!B31</f>
        <v>Покер Питер</v>
      </c>
      <c r="B9" s="21" t="str">
        <f>'📋 ПРОЕКТЫ'!D31</f>
        <v>Рубцов Александр</v>
      </c>
      <c r="C9" s="21" t="str">
        <f>'📋 ПРОЕКТЫ'!C31</f>
        <v>Выплачено, Готов</v>
      </c>
      <c r="D9" s="21" t="str">
        <f>'📋 ПРОЕКТЫ'!E31</f>
        <v>Instagram</v>
      </c>
      <c r="E9" s="22">
        <f>'📋 ПРОЕКТЫ'!G31</f>
        <v>90</v>
      </c>
      <c r="F9" s="22">
        <f>'📋 ПРОЕКТЫ'!H31</f>
        <v>90</v>
      </c>
      <c r="G9" s="23">
        <f>'📋 ПРОЕКТЫ'!I31</f>
        <v>100</v>
      </c>
      <c r="H9" s="23">
        <f>'📋 ПРОЕКТЫ'!I31</f>
        <v>100</v>
      </c>
    </row>
    <row r="10" ht="21.75" customHeight="1">
      <c r="A10" s="18" t="str">
        <f>'📋 ПРОЕКТЫ'!B34</f>
        <v>Баер из Китая</v>
      </c>
      <c r="B10" s="18" t="str">
        <f>'📋 ПРОЕКТЫ'!D34</f>
        <v>Константин</v>
      </c>
      <c r="C10" s="18" t="str">
        <f>'📋 ПРОЕКТЫ'!C34</f>
        <v>Выплачено, Отказ</v>
      </c>
      <c r="D10" s="18" t="str">
        <f>'📋 ПРОЕКТЫ'!E34</f>
        <v>Instagram</v>
      </c>
      <c r="E10" s="19">
        <f>'📋 ПРОЕКТЫ'!G34</f>
        <v>60</v>
      </c>
      <c r="F10" s="19">
        <f>'📋 ПРОЕКТЫ'!H34</f>
        <v>6</v>
      </c>
      <c r="G10" s="20">
        <f>'📋 ПРОЕКТЫ'!I34</f>
        <v>10</v>
      </c>
      <c r="H10" s="20">
        <f>'📋 ПРОЕКТЫ'!I34</f>
        <v>10</v>
      </c>
    </row>
    <row r="11" ht="21.75" customHeight="1">
      <c r="A11" s="21" t="str">
        <f>'📋 ПРОЕКТЫ'!B26</f>
        <v>Марафон по религии</v>
      </c>
      <c r="B11" s="21" t="str">
        <f>'📋 ПРОЕКТЫ'!D26</f>
        <v>Дима Кичигин</v>
      </c>
      <c r="C11" s="21" t="str">
        <f>'📋 ПРОЕКТЫ'!C26</f>
        <v>Готов, Выплачено</v>
      </c>
      <c r="D11" s="21" t="str">
        <f>'📋 ПРОЕКТЫ'!E26</f>
        <v>Instagram</v>
      </c>
      <c r="E11" s="22">
        <f>'📋 ПРОЕКТЫ'!G26</f>
        <v>90</v>
      </c>
      <c r="F11" s="22">
        <f>'📋 ПРОЕКТЫ'!H26</f>
        <v>90</v>
      </c>
      <c r="G11" s="23">
        <f>'📋 ПРОЕКТЫ'!I26</f>
        <v>100</v>
      </c>
      <c r="H11" s="23">
        <f>'📋 ПРОЕКТЫ'!I26</f>
        <v>100</v>
      </c>
    </row>
    <row r="12" ht="21.75" customHeight="1">
      <c r="A12" s="18" t="str">
        <f>'📋 ПРОЕКТЫ'!B25</f>
        <v>Авто в аренду Москва</v>
      </c>
      <c r="B12" s="18" t="str">
        <f>'📋 ПРОЕКТЫ'!D25</f>
        <v>Артем</v>
      </c>
      <c r="C12" s="18" t="str">
        <f>'📋 ПРОЕКТЫ'!C25</f>
        <v>Выплачено, Готов</v>
      </c>
      <c r="D12" s="18" t="str">
        <f>'📋 ПРОЕКТЫ'!E25</f>
        <v>Instagram</v>
      </c>
      <c r="E12" s="19">
        <f>'📋 ПРОЕКТЫ'!G25</f>
        <v>90</v>
      </c>
      <c r="F12" s="19">
        <f>'📋 ПРОЕКТЫ'!H25</f>
        <v>87</v>
      </c>
      <c r="G12" s="20">
        <f>'📋 ПРОЕКТЫ'!I25</f>
        <v>96.7</v>
      </c>
      <c r="H12" s="20">
        <f>'📋 ПРОЕКТЫ'!I25</f>
        <v>96.7</v>
      </c>
    </row>
    <row r="13" ht="21.75" customHeight="1">
      <c r="A13" s="21" t="str">
        <f>'📋 ПРОЕКТЫ'!B19</f>
        <v>Личный бренд девочка танцы</v>
      </c>
      <c r="B13" s="21" t="str">
        <f>'📋 ПРОЕКТЫ'!D19</f>
        <v>Рубцов Александр</v>
      </c>
      <c r="C13" s="21" t="str">
        <f>'📋 ПРОЕКТЫ'!C19</f>
        <v>На паузе</v>
      </c>
      <c r="D13" s="21" t="str">
        <f>'📋 ПРОЕКТЫ'!E19</f>
        <v>Instagram+ТГ</v>
      </c>
      <c r="E13" s="22">
        <f>'📋 ПРОЕКТЫ'!G19</f>
        <v>90</v>
      </c>
      <c r="F13" s="22">
        <f>'📋 ПРОЕКТЫ'!H19</f>
        <v>67</v>
      </c>
      <c r="G13" s="23">
        <f>'📋 ПРОЕКТЫ'!I19</f>
        <v>74.4</v>
      </c>
      <c r="H13" s="23">
        <f>'📋 ПРОЕКТЫ'!I19</f>
        <v>74.4</v>
      </c>
    </row>
    <row r="14" ht="21.75" customHeight="1">
      <c r="A14" s="18" t="str">
        <f>'📋 ПРОЕКТЫ'!B33</f>
        <v>Аквапарк Москва</v>
      </c>
      <c r="B14" s="18" t="str">
        <f>'📋 ПРОЕКТЫ'!D33</f>
        <v>-------</v>
      </c>
      <c r="C14" s="18" t="str">
        <f>'📋 ПРОЕКТЫ'!C33</f>
        <v>Отказ</v>
      </c>
      <c r="D14" s="18" t="str">
        <f>'📋 ПРОЕКТЫ'!E33</f>
        <v>Instagram</v>
      </c>
      <c r="E14" s="19">
        <f>'📋 ПРОЕКТЫ'!G33</f>
        <v>90</v>
      </c>
      <c r="F14" s="19">
        <f>'📋 ПРОЕКТЫ'!H33</f>
        <v>0</v>
      </c>
      <c r="G14" s="20">
        <f>'📋 ПРОЕКТЫ'!I33</f>
        <v>0</v>
      </c>
      <c r="H14" s="20">
        <f>'📋 ПРОЕКТЫ'!I33</f>
        <v>0</v>
      </c>
    </row>
    <row r="15" ht="21.75" customHeight="1">
      <c r="A15" s="21" t="str">
        <f>'📋 ПРОЕКТЫ'!B36</f>
        <v>Цветочный Минск</v>
      </c>
      <c r="B15" s="21" t="str">
        <f>'📋 ПРОЕКТЫ'!D36</f>
        <v>Паша Рубцов</v>
      </c>
      <c r="C15" s="21" t="str">
        <f>'📋 ПРОЕКТЫ'!C36</f>
        <v>Выплачено, Отказ</v>
      </c>
      <c r="D15" s="21" t="str">
        <f>'📋 ПРОЕКТЫ'!E36</f>
        <v>Instagram</v>
      </c>
      <c r="E15" s="22">
        <f>'📋 ПРОЕКТЫ'!G36</f>
        <v>60</v>
      </c>
      <c r="F15" s="22">
        <f>'📋 ПРОЕКТЫ'!H36</f>
        <v>8</v>
      </c>
      <c r="G15" s="23">
        <f>'📋 ПРОЕКТЫ'!I36</f>
        <v>13.3</v>
      </c>
      <c r="H15" s="23">
        <f>'📋 ПРОЕКТЫ'!I36</f>
        <v>13.3</v>
      </c>
    </row>
    <row r="16" ht="21.75" customHeight="1">
      <c r="A16" s="18" t="str">
        <f>'📋 ПРОЕКТЫ'!B27</f>
        <v>Консалтинг ресторанов</v>
      </c>
      <c r="B16" s="18" t="str">
        <f>'📋 ПРОЕКТЫ'!D27</f>
        <v>Дима Кичигин</v>
      </c>
      <c r="C16" s="18" t="str">
        <f>'📋 ПРОЕКТЫ'!C27</f>
        <v>Готов, Выплачено</v>
      </c>
      <c r="D16" s="18" t="str">
        <f>'📋 ПРОЕКТЫ'!E27</f>
        <v>Instagram</v>
      </c>
      <c r="E16" s="19">
        <f>'📋 ПРОЕКТЫ'!G27</f>
        <v>60</v>
      </c>
      <c r="F16" s="19">
        <f>'📋 ПРОЕКТЫ'!H27</f>
        <v>60</v>
      </c>
      <c r="G16" s="20">
        <f>'📋 ПРОЕКТЫ'!I27</f>
        <v>100</v>
      </c>
      <c r="H16" s="20">
        <f>'📋 ПРОЕКТЫ'!I27</f>
        <v>100</v>
      </c>
    </row>
    <row r="17" ht="21.75" customHeight="1">
      <c r="A17" s="21" t="str">
        <f>'📋 ПРОЕКТЫ'!B7</f>
        <v>Мужской бренд одежды</v>
      </c>
      <c r="B17" s="21" t="str">
        <f>'📋 ПРОЕКТЫ'!D7</f>
        <v>Дима Кичигин</v>
      </c>
      <c r="C17" s="21" t="str">
        <f>'📋 ПРОЕКТЫ'!C7</f>
        <v>Ждет выплаты, Готов</v>
      </c>
      <c r="D17" s="21" t="str">
        <f>'📋 ПРОЕКТЫ'!E7</f>
        <v>Instagram+ВК</v>
      </c>
      <c r="E17" s="22">
        <f>'📋 ПРОЕКТЫ'!G7</f>
        <v>60</v>
      </c>
      <c r="F17" s="22">
        <f>'📋 ПРОЕКТЫ'!H7</f>
        <v>60</v>
      </c>
      <c r="G17" s="23">
        <f>'📋 ПРОЕКТЫ'!I7</f>
        <v>100</v>
      </c>
      <c r="H17" s="23">
        <f>'📋 ПРОЕКТЫ'!I7</f>
        <v>100</v>
      </c>
    </row>
    <row r="18" ht="21.75" customHeight="1">
      <c r="A18" s="18" t="str">
        <f>'📋 ПРОЕКТЫ'!B32</f>
        <v>Клубника в шоколаде</v>
      </c>
      <c r="B18" s="18" t="str">
        <f>'📋 ПРОЕКТЫ'!D32</f>
        <v>Александр Костя</v>
      </c>
      <c r="C18" s="18" t="str">
        <f>'📋 ПРОЕКТЫ'!C32</f>
        <v>Выплачено, Отказ</v>
      </c>
      <c r="D18" s="18" t="str">
        <f>'📋 ПРОЕКТЫ'!E32</f>
        <v>Instagram</v>
      </c>
      <c r="E18" s="19">
        <f>'📋 ПРОЕКТЫ'!G32</f>
        <v>50</v>
      </c>
      <c r="F18" s="19">
        <f>'📋 ПРОЕКТЫ'!H32</f>
        <v>42</v>
      </c>
      <c r="G18" s="20">
        <f>'📋 ПРОЕКТЫ'!I32</f>
        <v>84</v>
      </c>
      <c r="H18" s="20">
        <f>'📋 ПРОЕКТЫ'!I32</f>
        <v>84</v>
      </c>
    </row>
    <row r="19" ht="21.75" customHeight="1">
      <c r="A19" s="21" t="str">
        <f>'📋 ПРОЕКТЫ'!B37</f>
        <v>Студия рисования</v>
      </c>
      <c r="B19" s="21" t="str">
        <f>'📋 ПРОЕКТЫ'!D37</f>
        <v>Паша Рубцов</v>
      </c>
      <c r="C19" s="21" t="str">
        <f>'📋 ПРОЕКТЫ'!C37</f>
        <v>Отказ, Выплачено</v>
      </c>
      <c r="D19" s="21" t="str">
        <f>'📋 ПРОЕКТЫ'!E37</f>
        <v>Instagram</v>
      </c>
      <c r="E19" s="22">
        <f>'📋 ПРОЕКТЫ'!G37</f>
        <v>50</v>
      </c>
      <c r="F19" s="22">
        <f>'📋 ПРОЕКТЫ'!H37</f>
        <v>18</v>
      </c>
      <c r="G19" s="23">
        <f>'📋 ПРОЕКТЫ'!I37</f>
        <v>36</v>
      </c>
      <c r="H19" s="23">
        <f>'📋 ПРОЕКТЫ'!I37</f>
        <v>36</v>
      </c>
    </row>
    <row r="20" ht="21.75" customHeight="1">
      <c r="A20" s="18" t="str">
        <f>'📋 ПРОЕКТЫ'!B28</f>
        <v>Роллы, пицца, суши</v>
      </c>
      <c r="B20" s="18" t="str">
        <f>'📋 ПРОЕКТЫ'!D28</f>
        <v>Дима Кичигин</v>
      </c>
      <c r="C20" s="18" t="str">
        <f>'📋 ПРОЕКТЫ'!C28</f>
        <v>Готов, Выплачено</v>
      </c>
      <c r="D20" s="18" t="str">
        <f>'📋 ПРОЕКТЫ'!E28</f>
        <v>Instagram+ВК</v>
      </c>
      <c r="E20" s="19">
        <f>'📋 ПРОЕКТЫ'!G28</f>
        <v>50</v>
      </c>
      <c r="F20" s="19">
        <f>'📋 ПРОЕКТЫ'!H28</f>
        <v>50</v>
      </c>
      <c r="G20" s="20">
        <f>'📋 ПРОЕКТЫ'!I28</f>
        <v>100</v>
      </c>
      <c r="H20" s="20">
        <f>'📋 ПРОЕКТЫ'!I28</f>
        <v>100</v>
      </c>
    </row>
    <row r="21" ht="21.75" customHeight="1">
      <c r="A21" s="21" t="str">
        <f>'📋 ПРОЕКТЫ'!B30</f>
        <v>ИИ-тренер</v>
      </c>
      <c r="B21" s="21" t="str">
        <f>'📋 ПРОЕКТЫ'!D30</f>
        <v>-------</v>
      </c>
      <c r="C21" s="21" t="str">
        <f>'📋 ПРОЕКТЫ'!C30</f>
        <v>На паузе, Отказ</v>
      </c>
      <c r="D21" s="21" t="str">
        <f>'📋 ПРОЕКТЫ'!E30</f>
        <v>Instagram</v>
      </c>
      <c r="E21" s="22">
        <f>'📋 ПРОЕКТЫ'!G30</f>
        <v>80</v>
      </c>
      <c r="F21" s="22">
        <f>'📋 ПРОЕКТЫ'!H30</f>
        <v>0</v>
      </c>
      <c r="G21" s="23">
        <f>'📋 ПРОЕКТЫ'!I30</f>
        <v>0</v>
      </c>
      <c r="H21" s="23">
        <f>'📋 ПРОЕКТЫ'!I30</f>
        <v>0</v>
      </c>
    </row>
    <row r="22" ht="21.75" customHeight="1">
      <c r="A22" s="18" t="str">
        <f>'📋 ПРОЕКТЫ'!B38</f>
        <v>Цветы</v>
      </c>
      <c r="B22" s="18" t="str">
        <f>'📋 ПРОЕКТЫ'!D38</f>
        <v>Саша Москва</v>
      </c>
      <c r="C22" s="18" t="str">
        <f>'📋 ПРОЕКТЫ'!C38</f>
        <v>Отказ, Выплачено</v>
      </c>
      <c r="D22" s="18" t="str">
        <f>'📋 ПРОЕКТЫ'!E38</f>
        <v>Instagram</v>
      </c>
      <c r="E22" s="19">
        <f>'📋 ПРОЕКТЫ'!G38</f>
        <v>80</v>
      </c>
      <c r="F22" s="19">
        <f>'📋 ПРОЕКТЫ'!H38</f>
        <v>60</v>
      </c>
      <c r="G22" s="20">
        <f>'📋 ПРОЕКТЫ'!I38</f>
        <v>75</v>
      </c>
      <c r="H22" s="20">
        <f>'📋 ПРОЕКТЫ'!I38</f>
        <v>75</v>
      </c>
    </row>
    <row r="23" ht="21.75" customHeight="1">
      <c r="A23" s="21" t="str">
        <f>'📋 ПРОЕКТЫ'!B29</f>
        <v>Квизы</v>
      </c>
      <c r="B23" s="21" t="str">
        <f>'📋 ПРОЕКТЫ'!D29</f>
        <v>Дима Кичигин</v>
      </c>
      <c r="C23" s="21" t="str">
        <f>'📋 ПРОЕКТЫ'!C29</f>
        <v>Готов, Выплачено</v>
      </c>
      <c r="D23" s="21" t="str">
        <f>'📋 ПРОЕКТЫ'!E29</f>
        <v>Instagram</v>
      </c>
      <c r="E23" s="22">
        <f>'📋 ПРОЕКТЫ'!G29</f>
        <v>80</v>
      </c>
      <c r="F23" s="22">
        <f>'📋 ПРОЕКТЫ'!H29</f>
        <v>80</v>
      </c>
      <c r="G23" s="23">
        <f>'📋 ПРОЕКТЫ'!I29</f>
        <v>100</v>
      </c>
      <c r="H23" s="23">
        <f>'📋 ПРОЕКТЫ'!I29</f>
        <v>100</v>
      </c>
    </row>
    <row r="24" ht="21.75" customHeight="1">
      <c r="A24" s="18" t="str">
        <f>'📋 ПРОЕКТЫ'!B22</f>
        <v>Диски</v>
      </c>
      <c r="B24" s="18" t="str">
        <f>'📋 ПРОЕКТЫ'!D22</f>
        <v>Дима Кичигин</v>
      </c>
      <c r="C24" s="18" t="str">
        <f>'📋 ПРОЕКТЫ'!C22</f>
        <v>Выплачено, Готов</v>
      </c>
      <c r="D24" s="18" t="str">
        <f>'📋 ПРОЕКТЫ'!E22</f>
        <v>Instagram</v>
      </c>
      <c r="E24" s="19">
        <f>'📋 ПРОЕКТЫ'!G22</f>
        <v>80</v>
      </c>
      <c r="F24" s="19">
        <f>'📋 ПРОЕКТЫ'!H22</f>
        <v>80</v>
      </c>
      <c r="G24" s="20">
        <f>'📋 ПРОЕКТЫ'!I22</f>
        <v>100</v>
      </c>
      <c r="H24" s="20">
        <f>'📋 ПРОЕКТЫ'!I22</f>
        <v>100</v>
      </c>
    </row>
    <row r="25" ht="21.75" customHeight="1">
      <c r="A25" s="21" t="str">
        <f>'📋 ПРОЕКТЫ'!B40</f>
        <v>Риелтор Калининград</v>
      </c>
      <c r="B25" s="21" t="str">
        <f>'📋 ПРОЕКТЫ'!D40</f>
        <v>Дима Кичигин</v>
      </c>
      <c r="C25" s="21" t="str">
        <f>'📋 ПРОЕКТЫ'!C40</f>
        <v>Отказ, Выплачено</v>
      </c>
      <c r="D25" s="21" t="str">
        <f>'📋 ПРОЕКТЫ'!E40</f>
        <v>Instagram</v>
      </c>
      <c r="E25" s="22">
        <f>'📋 ПРОЕКТЫ'!G40</f>
        <v>80</v>
      </c>
      <c r="F25" s="22">
        <f>'📋 ПРОЕКТЫ'!H40</f>
        <v>47</v>
      </c>
      <c r="G25" s="23">
        <f>'📋 ПРОЕКТЫ'!I40</f>
        <v>58.8</v>
      </c>
      <c r="H25" s="23">
        <f>'📋 ПРОЕКТЫ'!I40</f>
        <v>58.8</v>
      </c>
    </row>
    <row r="26" ht="21.75" customHeight="1">
      <c r="A26" s="18" t="str">
        <f>'📋 ПРОЕКТЫ'!B21</f>
        <v>Риелтор Грозный Альбина</v>
      </c>
      <c r="B26" s="18" t="str">
        <f>'📋 ПРОЕКТЫ'!D21</f>
        <v>Саша Москва</v>
      </c>
      <c r="C26" s="18" t="str">
        <f>'📋 ПРОЕКТЫ'!C21</f>
        <v>Готов, Выплачено</v>
      </c>
      <c r="D26" s="18" t="str">
        <f>'📋 ПРОЕКТЫ'!E21</f>
        <v>Instagram</v>
      </c>
      <c r="E26" s="19">
        <f>'📋 ПРОЕКТЫ'!G21</f>
        <v>80</v>
      </c>
      <c r="F26" s="19">
        <f>'📋 ПРОЕКТЫ'!H21</f>
        <v>80</v>
      </c>
      <c r="G26" s="20">
        <f>'📋 ПРОЕКТЫ'!I21</f>
        <v>100</v>
      </c>
      <c r="H26" s="20">
        <f>'📋 ПРОЕКТЫ'!I21</f>
        <v>100</v>
      </c>
    </row>
    <row r="27" ht="21.75" customHeight="1">
      <c r="A27" s="21" t="str">
        <f>'📋 ПРОЕКТЫ'!B39</f>
        <v>Пойзон</v>
      </c>
      <c r="B27" s="21" t="str">
        <f>'📋 ПРОЕКТЫ'!D39</f>
        <v>Саша Москва</v>
      </c>
      <c r="C27" s="21" t="str">
        <f>'📋 ПРОЕКТЫ'!C39</f>
        <v>Выплачено, Готов, Отказ</v>
      </c>
      <c r="D27" s="21" t="str">
        <f>'📋 ПРОЕКТЫ'!E39</f>
        <v>Instagram</v>
      </c>
      <c r="E27" s="22">
        <f>'📋 ПРОЕКТЫ'!G39</f>
        <v>80</v>
      </c>
      <c r="F27" s="22">
        <f>'📋 ПРОЕКТЫ'!H39</f>
        <v>51</v>
      </c>
      <c r="G27" s="23">
        <f>'📋 ПРОЕКТЫ'!I39</f>
        <v>63.8</v>
      </c>
      <c r="H27" s="23">
        <f>'📋 ПРОЕКТЫ'!I39</f>
        <v>63.8</v>
      </c>
    </row>
    <row r="28" ht="21.75" customHeight="1">
      <c r="A28" s="18" t="str">
        <f>'📋 ПРОЕКТЫ'!B11</f>
        <v>Личный бренд дети</v>
      </c>
      <c r="B28" s="18" t="str">
        <f>'📋 ПРОЕКТЫ'!D11</f>
        <v>Елена</v>
      </c>
      <c r="C28" s="18" t="str">
        <f>'📋 ПРОЕКТЫ'!C11</f>
        <v>Ждет выплаты, Готов</v>
      </c>
      <c r="D28" s="18" t="str">
        <f>'📋 ПРОЕКТЫ'!E11</f>
        <v>Instagram</v>
      </c>
      <c r="E28" s="19">
        <f>'📋 ПРОЕКТЫ'!G11</f>
        <v>80</v>
      </c>
      <c r="F28" s="19">
        <f>'📋 ПРОЕКТЫ'!H11</f>
        <v>80</v>
      </c>
      <c r="G28" s="20">
        <f>'📋 ПРОЕКТЫ'!I11</f>
        <v>100</v>
      </c>
      <c r="H28" s="20">
        <f>'📋 ПРОЕКТЫ'!I11</f>
        <v>100</v>
      </c>
    </row>
    <row r="29" ht="21.75" customHeight="1">
      <c r="A29" s="21" t="str">
        <f>'📋 ПРОЕКТЫ'!B12</f>
        <v>Ресницы</v>
      </c>
      <c r="B29" s="21" t="str">
        <f>'📋 ПРОЕКТЫ'!D12</f>
        <v>Елена</v>
      </c>
      <c r="C29" s="21" t="str">
        <f>'📋 ПРОЕКТЫ'!C12</f>
        <v>Ждет выплаты, Готов</v>
      </c>
      <c r="D29" s="21" t="str">
        <f>'📋 ПРОЕКТЫ'!E12</f>
        <v>Instagram</v>
      </c>
      <c r="E29" s="22">
        <f>'📋 ПРОЕКТЫ'!G12</f>
        <v>80</v>
      </c>
      <c r="F29" s="22">
        <f>'📋 ПРОЕКТЫ'!H12</f>
        <v>80</v>
      </c>
      <c r="G29" s="23">
        <f>'📋 ПРОЕКТЫ'!I12</f>
        <v>100</v>
      </c>
      <c r="H29" s="23">
        <f>'📋 ПРОЕКТЫ'!I12</f>
        <v>100</v>
      </c>
    </row>
    <row r="30" ht="21.75" customHeight="1">
      <c r="A30" s="18" t="str">
        <f>'📋 ПРОЕКТЫ'!B23</f>
        <v>Товары оптом из Китая</v>
      </c>
      <c r="B30" s="18" t="str">
        <f>'📋 ПРОЕКТЫ'!D23</f>
        <v>Дима Кичигин</v>
      </c>
      <c r="C30" s="18" t="str">
        <f>'📋 ПРОЕКТЫ'!C23</f>
        <v>Выплачено, Готов</v>
      </c>
      <c r="D30" s="18" t="str">
        <f>'📋 ПРОЕКТЫ'!E23</f>
        <v>Instagram</v>
      </c>
      <c r="E30" s="19">
        <f>'📋 ПРОЕКТЫ'!G23</f>
        <v>80</v>
      </c>
      <c r="F30" s="19">
        <f>'📋 ПРОЕКТЫ'!H23</f>
        <v>80</v>
      </c>
      <c r="G30" s="20">
        <f>'📋 ПРОЕКТЫ'!I23</f>
        <v>100</v>
      </c>
      <c r="H30" s="20">
        <f>'📋 ПРОЕКТЫ'!I23</f>
        <v>100</v>
      </c>
    </row>
    <row r="31" ht="21.75" customHeight="1">
      <c r="A31" s="21" t="str">
        <f>'📋 ПРОЕКТЫ'!B9</f>
        <v>Аппаратный массаж</v>
      </c>
      <c r="B31" s="21" t="str">
        <f>'📋 ПРОЕКТЫ'!D9</f>
        <v>Миша</v>
      </c>
      <c r="C31" s="21" t="str">
        <f>'📋 ПРОЕКТЫ'!C9</f>
        <v>Ждет выплаты, Выкладывается</v>
      </c>
      <c r="D31" s="21" t="str">
        <f>'📋 ПРОЕКТЫ'!E9</f>
        <v>Instagram</v>
      </c>
      <c r="E31" s="22">
        <f>'📋 ПРОЕКТЫ'!G9</f>
        <v>80</v>
      </c>
      <c r="F31" s="22">
        <f>'📋 ПРОЕКТЫ'!H9</f>
        <v>80</v>
      </c>
      <c r="G31" s="23">
        <f>'📋 ПРОЕКТЫ'!I9</f>
        <v>100</v>
      </c>
      <c r="H31" s="23">
        <f>'📋 ПРОЕКТЫ'!I9</f>
        <v>100</v>
      </c>
    </row>
    <row r="32" ht="21.75" customHeight="1">
      <c r="A32" s="18" t="str">
        <f>'📋 ПРОЕКТЫ'!B13</f>
        <v>Обучение детей плаванию</v>
      </c>
      <c r="B32" s="18" t="str">
        <f>'📋 ПРОЕКТЫ'!D13</f>
        <v>Артем</v>
      </c>
      <c r="C32" s="18" t="str">
        <f>'📋 ПРОЕКТЫ'!C13</f>
        <v>В работе</v>
      </c>
      <c r="D32" s="18" t="str">
        <f>'📋 ПРОЕКТЫ'!E13</f>
        <v>Instagram</v>
      </c>
      <c r="E32" s="19">
        <f>'📋 ПРОЕКТЫ'!G13</f>
        <v>80</v>
      </c>
      <c r="F32" s="19">
        <f>'📋 ПРОЕКТЫ'!H13</f>
        <v>45</v>
      </c>
      <c r="G32" s="20">
        <f>'📋 ПРОЕКТЫ'!I13</f>
        <v>56.3</v>
      </c>
      <c r="H32" s="20">
        <f>'📋 ПРОЕКТЫ'!I13</f>
        <v>56.3</v>
      </c>
    </row>
    <row r="33" ht="21.75" customHeight="1">
      <c r="A33" s="21" t="str">
        <f>'📋 ПРОЕКТЫ'!B35</f>
        <v>Психолог</v>
      </c>
      <c r="B33" s="21" t="str">
        <f>'📋 ПРОЕКТЫ'!D35</f>
        <v>Елена</v>
      </c>
      <c r="C33" s="21" t="str">
        <f>'📋 ПРОЕКТЫ'!C35</f>
        <v>На паузе, Отказ</v>
      </c>
      <c r="D33" s="21" t="str">
        <f>'📋 ПРОЕКТЫ'!E35</f>
        <v>Instagram</v>
      </c>
      <c r="E33" s="22">
        <f>'📋 ПРОЕКТЫ'!G35</f>
        <v>80</v>
      </c>
      <c r="F33" s="22">
        <f>'📋 ПРОЕКТЫ'!H35</f>
        <v>6</v>
      </c>
      <c r="G33" s="23">
        <f>'📋 ПРОЕКТЫ'!I35</f>
        <v>7.5</v>
      </c>
      <c r="H33" s="23">
        <f>'📋 ПРОЕКТЫ'!I35</f>
        <v>7.5</v>
      </c>
    </row>
    <row r="34" ht="21.75" customHeight="1">
      <c r="A34" s="18" t="str">
        <f>'📋 ПРОЕКТЫ'!B8</f>
        <v>Картины по металлу</v>
      </c>
      <c r="B34" s="18" t="str">
        <f>'📋 ПРОЕКТЫ'!D8</f>
        <v>Дима Кичигин</v>
      </c>
      <c r="C34" s="18" t="str">
        <f>'📋 ПРОЕКТЫ'!C8</f>
        <v>Ждет выплаты, Готов</v>
      </c>
      <c r="D34" s="18" t="str">
        <f>'📋 ПРОЕКТЫ'!E8</f>
        <v>Instagram</v>
      </c>
      <c r="E34" s="19">
        <f>'📋 ПРОЕКТЫ'!G8</f>
        <v>80</v>
      </c>
      <c r="F34" s="19">
        <f>'📋 ПРОЕКТЫ'!H8</f>
        <v>80</v>
      </c>
      <c r="G34" s="20">
        <f>'📋 ПРОЕКТЫ'!I8</f>
        <v>100</v>
      </c>
      <c r="H34" s="20">
        <f>'📋 ПРОЕКТЫ'!I8</f>
        <v>100</v>
      </c>
    </row>
    <row r="35" ht="15.75" customHeight="1">
      <c r="A35" s="18" t="str">
        <f>'📋 ПРОЕКТЫ'!B20</f>
        <v>Идилия капельницы</v>
      </c>
    </row>
    <row r="36" ht="15.75" customHeight="1">
      <c r="A36" s="18" t="str">
        <f>'📋 ПРОЕКТЫ'!B24</f>
        <v>Покер Москва</v>
      </c>
    </row>
    <row r="37" ht="15.75" customHeight="1">
      <c r="A37" s="18" t="str">
        <f>'📋 ПРОЕКТЫ'!B10</f>
        <v>Покер еще новый, не знаю как маркировать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M4:O4"/>
    <mergeCell ref="M5:O5"/>
    <mergeCell ref="A2:N2"/>
    <mergeCell ref="A4:C4"/>
    <mergeCell ref="E4:G4"/>
    <mergeCell ref="I4:K4"/>
    <mergeCell ref="A5:C5"/>
    <mergeCell ref="E5:G5"/>
    <mergeCell ref="I5:K5"/>
  </mergeCells>
  <conditionalFormatting sqref="G8:G34">
    <cfRule type="colorScale" priority="1">
      <colorScale>
        <cfvo type="formula" val="0"/>
        <cfvo type="formula" val="50"/>
        <cfvo type="formula" val="100"/>
        <color rgb="FFFF6B6B"/>
        <color rgb="FFFFD93D"/>
        <color rgb="FF6BCB77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86"/>
    <col customWidth="1" min="3" max="3" width="37.14"/>
    <col customWidth="1" min="4" max="4" width="24.86"/>
    <col customWidth="1" min="5" max="5" width="19.0"/>
    <col customWidth="1" min="6" max="6" width="15.0"/>
    <col customWidth="1" min="7" max="7" width="17.14"/>
    <col customWidth="1" min="8" max="8" width="17.86"/>
    <col customWidth="1" min="9" max="9" width="19.29"/>
    <col customWidth="1" min="10" max="10" width="13.0"/>
    <col customWidth="1" min="11" max="11" width="45.57"/>
    <col customWidth="1" min="12" max="24" width="8.71"/>
  </cols>
  <sheetData>
    <row r="1" ht="9.75" customHeight="1"/>
    <row r="2" ht="39.75" customHeight="1">
      <c r="A2" s="24" t="s">
        <v>13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31.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ht="31.5" customHeight="1">
      <c r="A4" s="26" t="s">
        <v>14</v>
      </c>
      <c r="B4" s="26" t="s">
        <v>15</v>
      </c>
      <c r="C4" s="26" t="s">
        <v>16</v>
      </c>
      <c r="D4" s="26" t="s">
        <v>6</v>
      </c>
      <c r="E4" s="26" t="s">
        <v>8</v>
      </c>
      <c r="F4" s="26" t="s">
        <v>17</v>
      </c>
      <c r="G4" s="26" t="s">
        <v>9</v>
      </c>
      <c r="H4" s="26" t="s">
        <v>18</v>
      </c>
      <c r="I4" s="26" t="s">
        <v>11</v>
      </c>
      <c r="J4" s="26" t="s">
        <v>19</v>
      </c>
      <c r="K4" s="26" t="s">
        <v>20</v>
      </c>
    </row>
    <row r="5" ht="15.75" customHeight="1">
      <c r="A5" s="27">
        <v>12.0</v>
      </c>
      <c r="B5" s="28" t="s">
        <v>21</v>
      </c>
      <c r="C5" s="29" t="s">
        <v>22</v>
      </c>
      <c r="D5" s="30" t="s">
        <v>23</v>
      </c>
      <c r="E5" s="31" t="s">
        <v>24</v>
      </c>
      <c r="F5" s="32">
        <v>5.0</v>
      </c>
      <c r="G5" s="32">
        <v>80.0</v>
      </c>
      <c r="H5" s="33">
        <v>6.0</v>
      </c>
      <c r="I5" s="34">
        <f t="shared" ref="I5:I40" si="1">IF(G5=0,0,ROUND(H5/G5*100,1))</f>
        <v>7.5</v>
      </c>
      <c r="J5" s="35">
        <v>46136.0</v>
      </c>
      <c r="K5" s="36"/>
    </row>
    <row r="6" ht="21.75" customHeight="1">
      <c r="A6" s="27">
        <v>13.0</v>
      </c>
      <c r="B6" s="28" t="s">
        <v>25</v>
      </c>
      <c r="C6" s="29" t="s">
        <v>22</v>
      </c>
      <c r="D6" s="30" t="s">
        <v>23</v>
      </c>
      <c r="E6" s="31" t="s">
        <v>24</v>
      </c>
      <c r="F6" s="32">
        <v>5.0</v>
      </c>
      <c r="G6" s="32">
        <v>80.0</v>
      </c>
      <c r="H6" s="33">
        <v>6.0</v>
      </c>
      <c r="I6" s="34">
        <f t="shared" si="1"/>
        <v>7.5</v>
      </c>
      <c r="J6" s="35">
        <v>46136.0</v>
      </c>
      <c r="K6" s="36"/>
    </row>
    <row r="7" ht="15.75" customHeight="1">
      <c r="A7" s="27">
        <v>1.0</v>
      </c>
      <c r="B7" s="36" t="s">
        <v>26</v>
      </c>
      <c r="C7" s="37" t="s">
        <v>27</v>
      </c>
      <c r="D7" s="38" t="s">
        <v>28</v>
      </c>
      <c r="E7" s="36" t="s">
        <v>29</v>
      </c>
      <c r="F7" s="39">
        <v>10.0</v>
      </c>
      <c r="G7" s="39">
        <v>60.0</v>
      </c>
      <c r="H7" s="32">
        <v>60.0</v>
      </c>
      <c r="I7" s="34">
        <f t="shared" si="1"/>
        <v>100</v>
      </c>
      <c r="J7" s="36"/>
      <c r="K7" s="36"/>
    </row>
    <row r="8" ht="21.75" customHeight="1">
      <c r="A8" s="27">
        <v>2.0</v>
      </c>
      <c r="B8" s="31" t="s">
        <v>30</v>
      </c>
      <c r="C8" s="37" t="s">
        <v>27</v>
      </c>
      <c r="D8" s="40" t="s">
        <v>28</v>
      </c>
      <c r="E8" s="31" t="s">
        <v>24</v>
      </c>
      <c r="F8" s="41">
        <v>5.0</v>
      </c>
      <c r="G8" s="41">
        <v>80.0</v>
      </c>
      <c r="H8" s="27">
        <v>80.0</v>
      </c>
      <c r="I8" s="42">
        <f t="shared" si="1"/>
        <v>100</v>
      </c>
      <c r="J8" s="31"/>
      <c r="K8" s="31"/>
    </row>
    <row r="9" ht="21.75" customHeight="1">
      <c r="A9" s="27">
        <v>3.0</v>
      </c>
      <c r="B9" s="36" t="s">
        <v>31</v>
      </c>
      <c r="C9" s="37" t="s">
        <v>32</v>
      </c>
      <c r="D9" s="30" t="s">
        <v>33</v>
      </c>
      <c r="E9" s="36" t="s">
        <v>24</v>
      </c>
      <c r="F9" s="39">
        <v>5.0</v>
      </c>
      <c r="G9" s="39">
        <v>80.0</v>
      </c>
      <c r="H9" s="32">
        <v>80.0</v>
      </c>
      <c r="I9" s="34">
        <f t="shared" si="1"/>
        <v>100</v>
      </c>
      <c r="J9" s="36"/>
      <c r="K9" s="36"/>
    </row>
    <row r="10" ht="21.75" customHeight="1">
      <c r="A10" s="27">
        <v>4.0</v>
      </c>
      <c r="B10" s="28" t="s">
        <v>34</v>
      </c>
      <c r="C10" s="37" t="s">
        <v>22</v>
      </c>
      <c r="D10" s="43" t="s">
        <v>35</v>
      </c>
      <c r="E10" s="31" t="s">
        <v>24</v>
      </c>
      <c r="F10" s="41">
        <v>10.0</v>
      </c>
      <c r="G10" s="27">
        <v>80.0</v>
      </c>
      <c r="H10" s="27">
        <v>30.0</v>
      </c>
      <c r="I10" s="42">
        <f t="shared" si="1"/>
        <v>37.5</v>
      </c>
      <c r="J10" s="35">
        <v>46110.0</v>
      </c>
      <c r="K10" s="31"/>
    </row>
    <row r="11" ht="21.75" customHeight="1">
      <c r="A11" s="27">
        <v>5.0</v>
      </c>
      <c r="B11" s="31" t="s">
        <v>36</v>
      </c>
      <c r="C11" s="37" t="s">
        <v>27</v>
      </c>
      <c r="D11" s="43" t="s">
        <v>37</v>
      </c>
      <c r="E11" s="31" t="s">
        <v>24</v>
      </c>
      <c r="F11" s="41">
        <v>5.0</v>
      </c>
      <c r="G11" s="41">
        <v>80.0</v>
      </c>
      <c r="H11" s="27">
        <v>80.0</v>
      </c>
      <c r="I11" s="42">
        <f t="shared" si="1"/>
        <v>100</v>
      </c>
      <c r="J11" s="31"/>
      <c r="K11" s="31"/>
    </row>
    <row r="12" ht="21.75" customHeight="1">
      <c r="A12" s="27">
        <v>6.0</v>
      </c>
      <c r="B12" s="36" t="s">
        <v>38</v>
      </c>
      <c r="C12" s="37" t="s">
        <v>27</v>
      </c>
      <c r="D12" s="38" t="s">
        <v>37</v>
      </c>
      <c r="E12" s="36" t="s">
        <v>24</v>
      </c>
      <c r="F12" s="39">
        <v>5.0</v>
      </c>
      <c r="G12" s="39">
        <v>80.0</v>
      </c>
      <c r="H12" s="32">
        <v>80.0</v>
      </c>
      <c r="I12" s="34">
        <f t="shared" si="1"/>
        <v>100</v>
      </c>
      <c r="J12" s="36"/>
      <c r="K12" s="36"/>
    </row>
    <row r="13" ht="15.75" customHeight="1">
      <c r="A13" s="27">
        <v>7.0</v>
      </c>
      <c r="B13" s="31" t="s">
        <v>39</v>
      </c>
      <c r="C13" s="37" t="s">
        <v>22</v>
      </c>
      <c r="D13" s="40" t="s">
        <v>23</v>
      </c>
      <c r="E13" s="31" t="s">
        <v>24</v>
      </c>
      <c r="F13" s="41">
        <v>5.0</v>
      </c>
      <c r="G13" s="41">
        <v>80.0</v>
      </c>
      <c r="H13" s="27">
        <v>45.0</v>
      </c>
      <c r="I13" s="42">
        <f t="shared" si="1"/>
        <v>56.3</v>
      </c>
      <c r="J13" s="31"/>
      <c r="K13" s="31"/>
    </row>
    <row r="14" ht="15.75" customHeight="1">
      <c r="A14" s="27">
        <v>8.0</v>
      </c>
      <c r="B14" s="28" t="s">
        <v>40</v>
      </c>
      <c r="C14" s="29" t="s">
        <v>22</v>
      </c>
      <c r="D14" s="30" t="s">
        <v>28</v>
      </c>
      <c r="E14" s="36" t="s">
        <v>24</v>
      </c>
      <c r="F14" s="39">
        <v>5.0</v>
      </c>
      <c r="G14" s="39">
        <v>80.0</v>
      </c>
      <c r="H14" s="33">
        <v>35.0</v>
      </c>
      <c r="I14" s="34">
        <f t="shared" si="1"/>
        <v>43.8</v>
      </c>
      <c r="J14" s="35">
        <v>46118.0</v>
      </c>
      <c r="K14" s="36"/>
    </row>
    <row r="15" ht="15.75" customHeight="1">
      <c r="A15" s="27">
        <v>9.0</v>
      </c>
      <c r="B15" s="28" t="s">
        <v>41</v>
      </c>
      <c r="C15" s="29" t="s">
        <v>22</v>
      </c>
      <c r="D15" s="30" t="s">
        <v>37</v>
      </c>
      <c r="E15" s="36" t="s">
        <v>24</v>
      </c>
      <c r="F15" s="39">
        <v>5.0</v>
      </c>
      <c r="G15" s="39">
        <v>80.0</v>
      </c>
      <c r="H15" s="33">
        <v>52.0</v>
      </c>
      <c r="I15" s="34">
        <f t="shared" si="1"/>
        <v>65</v>
      </c>
      <c r="J15" s="35">
        <v>46118.0</v>
      </c>
      <c r="K15" s="36"/>
    </row>
    <row r="16" ht="15.75" customHeight="1">
      <c r="A16" s="27">
        <v>10.0</v>
      </c>
      <c r="B16" s="28" t="s">
        <v>42</v>
      </c>
      <c r="C16" s="29" t="s">
        <v>22</v>
      </c>
      <c r="D16" s="30" t="s">
        <v>23</v>
      </c>
      <c r="E16" s="36" t="s">
        <v>24</v>
      </c>
      <c r="F16" s="39">
        <v>5.0</v>
      </c>
      <c r="G16" s="39">
        <v>80.0</v>
      </c>
      <c r="H16" s="33">
        <v>31.0</v>
      </c>
      <c r="I16" s="34">
        <f t="shared" si="1"/>
        <v>38.8</v>
      </c>
      <c r="J16" s="35">
        <v>46118.0</v>
      </c>
      <c r="K16" s="36"/>
    </row>
    <row r="17" ht="15.75" customHeight="1">
      <c r="A17" s="27">
        <v>11.0</v>
      </c>
      <c r="B17" s="28" t="s">
        <v>43</v>
      </c>
      <c r="C17" s="29" t="s">
        <v>22</v>
      </c>
      <c r="D17" s="30" t="s">
        <v>37</v>
      </c>
      <c r="E17" s="36" t="s">
        <v>24</v>
      </c>
      <c r="F17" s="39">
        <v>5.0</v>
      </c>
      <c r="G17" s="39">
        <v>80.0</v>
      </c>
      <c r="H17" s="33">
        <v>61.0</v>
      </c>
      <c r="I17" s="34">
        <f t="shared" si="1"/>
        <v>76.3</v>
      </c>
      <c r="J17" s="35">
        <v>46118.0</v>
      </c>
      <c r="K17" s="36"/>
    </row>
    <row r="18" ht="21.75" customHeight="1">
      <c r="A18" s="27">
        <v>13.0</v>
      </c>
      <c r="B18" s="28" t="s">
        <v>44</v>
      </c>
      <c r="C18" s="29" t="s">
        <v>45</v>
      </c>
      <c r="D18" s="30" t="s">
        <v>23</v>
      </c>
      <c r="E18" s="36" t="s">
        <v>24</v>
      </c>
      <c r="F18" s="39">
        <v>5.0</v>
      </c>
      <c r="G18" s="39">
        <v>80.0</v>
      </c>
      <c r="H18" s="33">
        <v>32.0</v>
      </c>
      <c r="I18" s="34">
        <f t="shared" si="1"/>
        <v>40</v>
      </c>
      <c r="J18" s="35">
        <v>46118.0</v>
      </c>
      <c r="K18" s="36"/>
    </row>
    <row r="19" ht="21.75" customHeight="1">
      <c r="A19" s="27">
        <v>14.0</v>
      </c>
      <c r="B19" s="36" t="s">
        <v>46</v>
      </c>
      <c r="C19" s="37" t="s">
        <v>45</v>
      </c>
      <c r="D19" s="38" t="s">
        <v>47</v>
      </c>
      <c r="E19" s="36" t="s">
        <v>48</v>
      </c>
      <c r="F19" s="39">
        <v>6.0</v>
      </c>
      <c r="G19" s="39">
        <v>90.0</v>
      </c>
      <c r="H19" s="32">
        <v>67.0</v>
      </c>
      <c r="I19" s="34">
        <f t="shared" si="1"/>
        <v>74.4</v>
      </c>
      <c r="J19" s="36"/>
      <c r="K19" s="36"/>
    </row>
    <row r="20" ht="21.75" customHeight="1">
      <c r="A20" s="27">
        <v>15.0</v>
      </c>
      <c r="B20" s="28" t="s">
        <v>49</v>
      </c>
      <c r="C20" s="37" t="s">
        <v>45</v>
      </c>
      <c r="D20" s="40" t="s">
        <v>28</v>
      </c>
      <c r="E20" s="31" t="s">
        <v>24</v>
      </c>
      <c r="F20" s="27">
        <v>7.0</v>
      </c>
      <c r="G20" s="27">
        <v>80.0</v>
      </c>
      <c r="H20" s="27">
        <v>0.0</v>
      </c>
      <c r="I20" s="42">
        <f t="shared" si="1"/>
        <v>0</v>
      </c>
      <c r="J20" s="35">
        <v>46112.0</v>
      </c>
      <c r="K20" s="31"/>
    </row>
    <row r="21" ht="21.75" customHeight="1">
      <c r="A21" s="27">
        <v>16.0</v>
      </c>
      <c r="B21" s="31" t="s">
        <v>50</v>
      </c>
      <c r="C21" s="37" t="s">
        <v>51</v>
      </c>
      <c r="D21" s="43" t="s">
        <v>52</v>
      </c>
      <c r="E21" s="31" t="s">
        <v>24</v>
      </c>
      <c r="F21" s="41">
        <v>5.0</v>
      </c>
      <c r="G21" s="41">
        <v>80.0</v>
      </c>
      <c r="H21" s="27">
        <v>80.0</v>
      </c>
      <c r="I21" s="42">
        <f t="shared" si="1"/>
        <v>100</v>
      </c>
      <c r="J21" s="31"/>
      <c r="K21" s="31"/>
    </row>
    <row r="22" ht="21.75" customHeight="1">
      <c r="A22" s="27">
        <v>17.0</v>
      </c>
      <c r="B22" s="31" t="s">
        <v>53</v>
      </c>
      <c r="C22" s="37" t="s">
        <v>54</v>
      </c>
      <c r="D22" s="43" t="s">
        <v>28</v>
      </c>
      <c r="E22" s="31" t="s">
        <v>24</v>
      </c>
      <c r="F22" s="41">
        <v>5.0</v>
      </c>
      <c r="G22" s="41">
        <v>80.0</v>
      </c>
      <c r="H22" s="27">
        <v>80.0</v>
      </c>
      <c r="I22" s="42">
        <f t="shared" si="1"/>
        <v>100</v>
      </c>
      <c r="J22" s="31"/>
      <c r="K22" s="31"/>
    </row>
    <row r="23" ht="21.75" customHeight="1">
      <c r="A23" s="27">
        <v>18.0</v>
      </c>
      <c r="B23" s="31" t="s">
        <v>55</v>
      </c>
      <c r="C23" s="37" t="s">
        <v>54</v>
      </c>
      <c r="D23" s="43" t="s">
        <v>28</v>
      </c>
      <c r="E23" s="31" t="s">
        <v>24</v>
      </c>
      <c r="F23" s="41">
        <v>5.0</v>
      </c>
      <c r="G23" s="41">
        <v>80.0</v>
      </c>
      <c r="H23" s="27">
        <v>80.0</v>
      </c>
      <c r="I23" s="42">
        <f t="shared" si="1"/>
        <v>100</v>
      </c>
      <c r="J23" s="31"/>
      <c r="K23" s="31"/>
    </row>
    <row r="24" ht="21.75" customHeight="1">
      <c r="A24" s="27">
        <v>19.0</v>
      </c>
      <c r="B24" s="31" t="s">
        <v>56</v>
      </c>
      <c r="C24" s="37" t="s">
        <v>54</v>
      </c>
      <c r="D24" s="43" t="s">
        <v>35</v>
      </c>
      <c r="E24" s="31" t="s">
        <v>24</v>
      </c>
      <c r="F24" s="41">
        <v>8.0</v>
      </c>
      <c r="G24" s="41">
        <v>80.0</v>
      </c>
      <c r="H24" s="27">
        <v>80.0</v>
      </c>
      <c r="I24" s="42">
        <f t="shared" si="1"/>
        <v>100</v>
      </c>
      <c r="J24" s="31"/>
      <c r="K24" s="31"/>
    </row>
    <row r="25" ht="21.75" customHeight="1">
      <c r="A25" s="27">
        <v>20.0</v>
      </c>
      <c r="B25" s="31" t="s">
        <v>57</v>
      </c>
      <c r="C25" s="37" t="s">
        <v>54</v>
      </c>
      <c r="D25" s="43" t="s">
        <v>23</v>
      </c>
      <c r="E25" s="31" t="s">
        <v>24</v>
      </c>
      <c r="F25" s="41">
        <v>8.0</v>
      </c>
      <c r="G25" s="41">
        <v>90.0</v>
      </c>
      <c r="H25" s="27">
        <v>87.0</v>
      </c>
      <c r="I25" s="42">
        <f t="shared" si="1"/>
        <v>96.7</v>
      </c>
      <c r="J25" s="31"/>
      <c r="K25" s="31"/>
    </row>
    <row r="26" ht="21.75" customHeight="1">
      <c r="A26" s="27">
        <v>21.0</v>
      </c>
      <c r="B26" s="36" t="s">
        <v>58</v>
      </c>
      <c r="C26" s="37" t="s">
        <v>51</v>
      </c>
      <c r="D26" s="38" t="s">
        <v>28</v>
      </c>
      <c r="E26" s="36" t="s">
        <v>24</v>
      </c>
      <c r="F26" s="39">
        <v>8.0</v>
      </c>
      <c r="G26" s="39">
        <v>90.0</v>
      </c>
      <c r="H26" s="39">
        <v>90.0</v>
      </c>
      <c r="I26" s="34">
        <f t="shared" si="1"/>
        <v>100</v>
      </c>
      <c r="J26" s="36"/>
      <c r="K26" s="36"/>
    </row>
    <row r="27" ht="21.75" customHeight="1">
      <c r="A27" s="27">
        <v>22.0</v>
      </c>
      <c r="B27" s="31" t="s">
        <v>59</v>
      </c>
      <c r="C27" s="37" t="s">
        <v>51</v>
      </c>
      <c r="D27" s="43" t="s">
        <v>28</v>
      </c>
      <c r="E27" s="31" t="s">
        <v>24</v>
      </c>
      <c r="F27" s="41">
        <v>8.0</v>
      </c>
      <c r="G27" s="41">
        <v>60.0</v>
      </c>
      <c r="H27" s="41">
        <v>60.0</v>
      </c>
      <c r="I27" s="42">
        <f t="shared" si="1"/>
        <v>100</v>
      </c>
      <c r="J27" s="31"/>
      <c r="K27" s="31"/>
    </row>
    <row r="28" ht="21.75" customHeight="1">
      <c r="A28" s="27">
        <v>23.0</v>
      </c>
      <c r="B28" s="31" t="s">
        <v>60</v>
      </c>
      <c r="C28" s="37" t="s">
        <v>51</v>
      </c>
      <c r="D28" s="43" t="s">
        <v>28</v>
      </c>
      <c r="E28" s="31" t="s">
        <v>29</v>
      </c>
      <c r="F28" s="41">
        <v>4.0</v>
      </c>
      <c r="G28" s="41">
        <v>50.0</v>
      </c>
      <c r="H28" s="27">
        <v>50.0</v>
      </c>
      <c r="I28" s="42">
        <f t="shared" si="1"/>
        <v>100</v>
      </c>
      <c r="J28" s="31"/>
      <c r="K28" s="31"/>
    </row>
    <row r="29" ht="21.75" customHeight="1">
      <c r="A29" s="27">
        <v>24.0</v>
      </c>
      <c r="B29" s="36" t="s">
        <v>61</v>
      </c>
      <c r="C29" s="37" t="s">
        <v>51</v>
      </c>
      <c r="D29" s="38" t="s">
        <v>28</v>
      </c>
      <c r="E29" s="36" t="s">
        <v>24</v>
      </c>
      <c r="F29" s="39">
        <v>5.0</v>
      </c>
      <c r="G29" s="39">
        <v>80.0</v>
      </c>
      <c r="H29" s="32">
        <v>80.0</v>
      </c>
      <c r="I29" s="34">
        <f t="shared" si="1"/>
        <v>100</v>
      </c>
      <c r="J29" s="36"/>
      <c r="K29" s="36"/>
    </row>
    <row r="30" ht="21.75" customHeight="1">
      <c r="A30" s="27">
        <v>25.0</v>
      </c>
      <c r="B30" s="36" t="s">
        <v>62</v>
      </c>
      <c r="C30" s="37" t="s">
        <v>63</v>
      </c>
      <c r="D30" s="30" t="s">
        <v>64</v>
      </c>
      <c r="E30" s="36" t="s">
        <v>24</v>
      </c>
      <c r="F30" s="39">
        <v>5.0</v>
      </c>
      <c r="G30" s="39">
        <v>80.0</v>
      </c>
      <c r="H30" s="39">
        <v>0.0</v>
      </c>
      <c r="I30" s="34">
        <f t="shared" si="1"/>
        <v>0</v>
      </c>
      <c r="J30" s="36"/>
      <c r="K30" s="36"/>
    </row>
    <row r="31" ht="21.75" customHeight="1">
      <c r="A31" s="27">
        <v>26.0</v>
      </c>
      <c r="B31" s="36" t="s">
        <v>65</v>
      </c>
      <c r="C31" s="37" t="s">
        <v>54</v>
      </c>
      <c r="D31" s="38" t="s">
        <v>47</v>
      </c>
      <c r="E31" s="36" t="s">
        <v>24</v>
      </c>
      <c r="F31" s="39">
        <v>8.0</v>
      </c>
      <c r="G31" s="39">
        <v>90.0</v>
      </c>
      <c r="H31" s="39">
        <v>90.0</v>
      </c>
      <c r="I31" s="34">
        <f t="shared" si="1"/>
        <v>100</v>
      </c>
      <c r="J31" s="36"/>
      <c r="K31" s="36"/>
    </row>
    <row r="32" ht="21.75" customHeight="1">
      <c r="A32" s="27">
        <v>27.0</v>
      </c>
      <c r="B32" s="31" t="s">
        <v>66</v>
      </c>
      <c r="C32" s="37" t="s">
        <v>67</v>
      </c>
      <c r="D32" s="43" t="s">
        <v>68</v>
      </c>
      <c r="E32" s="31" t="s">
        <v>24</v>
      </c>
      <c r="F32" s="41">
        <v>10.0</v>
      </c>
      <c r="G32" s="41">
        <v>50.0</v>
      </c>
      <c r="H32" s="41">
        <v>42.0</v>
      </c>
      <c r="I32" s="42">
        <f t="shared" si="1"/>
        <v>84</v>
      </c>
      <c r="J32" s="31"/>
      <c r="K32" s="31"/>
    </row>
    <row r="33" ht="21.75" customHeight="1">
      <c r="A33" s="27">
        <v>28.0</v>
      </c>
      <c r="B33" s="31" t="s">
        <v>69</v>
      </c>
      <c r="C33" s="37" t="s">
        <v>70</v>
      </c>
      <c r="D33" s="40" t="s">
        <v>64</v>
      </c>
      <c r="E33" s="31" t="s">
        <v>24</v>
      </c>
      <c r="F33" s="41">
        <v>6.0</v>
      </c>
      <c r="G33" s="41">
        <v>90.0</v>
      </c>
      <c r="H33" s="41">
        <v>0.0</v>
      </c>
      <c r="I33" s="42">
        <f t="shared" si="1"/>
        <v>0</v>
      </c>
      <c r="J33" s="31"/>
      <c r="K33" s="31"/>
    </row>
    <row r="34" ht="21.75" customHeight="1">
      <c r="A34" s="27">
        <v>29.0</v>
      </c>
      <c r="B34" s="31" t="s">
        <v>71</v>
      </c>
      <c r="C34" s="37" t="s">
        <v>67</v>
      </c>
      <c r="D34" s="43" t="s">
        <v>72</v>
      </c>
      <c r="E34" s="31" t="s">
        <v>24</v>
      </c>
      <c r="F34" s="41">
        <v>10.0</v>
      </c>
      <c r="G34" s="41">
        <v>60.0</v>
      </c>
      <c r="H34" s="41">
        <v>6.0</v>
      </c>
      <c r="I34" s="42">
        <f t="shared" si="1"/>
        <v>10</v>
      </c>
      <c r="J34" s="31"/>
      <c r="K34" s="31"/>
    </row>
    <row r="35" ht="21.75" customHeight="1">
      <c r="A35" s="27">
        <v>30.0</v>
      </c>
      <c r="B35" s="36" t="s">
        <v>73</v>
      </c>
      <c r="C35" s="44" t="s">
        <v>63</v>
      </c>
      <c r="D35" s="30" t="s">
        <v>37</v>
      </c>
      <c r="E35" s="36" t="s">
        <v>24</v>
      </c>
      <c r="F35" s="39">
        <v>5.0</v>
      </c>
      <c r="G35" s="39">
        <v>80.0</v>
      </c>
      <c r="H35" s="32">
        <v>6.0</v>
      </c>
      <c r="I35" s="34">
        <f t="shared" si="1"/>
        <v>7.5</v>
      </c>
      <c r="J35" s="36"/>
      <c r="K35" s="36"/>
    </row>
    <row r="36" ht="15.75" customHeight="1">
      <c r="A36" s="27">
        <v>31.0</v>
      </c>
      <c r="B36" s="36" t="s">
        <v>74</v>
      </c>
      <c r="C36" s="37" t="s">
        <v>67</v>
      </c>
      <c r="D36" s="38" t="s">
        <v>75</v>
      </c>
      <c r="E36" s="36" t="s">
        <v>24</v>
      </c>
      <c r="F36" s="39">
        <v>5.0</v>
      </c>
      <c r="G36" s="39">
        <v>60.0</v>
      </c>
      <c r="H36" s="39">
        <v>8.0</v>
      </c>
      <c r="I36" s="34">
        <f t="shared" si="1"/>
        <v>13.3</v>
      </c>
      <c r="J36" s="36"/>
      <c r="K36" s="36"/>
    </row>
    <row r="37" ht="21.75" customHeight="1">
      <c r="A37" s="27">
        <v>32.0</v>
      </c>
      <c r="B37" s="36" t="s">
        <v>76</v>
      </c>
      <c r="C37" s="37" t="s">
        <v>77</v>
      </c>
      <c r="D37" s="38" t="s">
        <v>75</v>
      </c>
      <c r="E37" s="36" t="s">
        <v>24</v>
      </c>
      <c r="F37" s="39">
        <v>4.0</v>
      </c>
      <c r="G37" s="39">
        <v>50.0</v>
      </c>
      <c r="H37" s="39">
        <v>18.0</v>
      </c>
      <c r="I37" s="34">
        <f t="shared" si="1"/>
        <v>36</v>
      </c>
      <c r="J37" s="36"/>
      <c r="K37" s="36"/>
    </row>
    <row r="38" ht="21.75" customHeight="1">
      <c r="A38" s="27">
        <v>33.0</v>
      </c>
      <c r="B38" s="31" t="s">
        <v>78</v>
      </c>
      <c r="C38" s="37" t="s">
        <v>77</v>
      </c>
      <c r="D38" s="43" t="s">
        <v>52</v>
      </c>
      <c r="E38" s="31" t="s">
        <v>24</v>
      </c>
      <c r="F38" s="41">
        <v>5.0</v>
      </c>
      <c r="G38" s="41">
        <v>80.0</v>
      </c>
      <c r="H38" s="41">
        <v>60.0</v>
      </c>
      <c r="I38" s="42">
        <f t="shared" si="1"/>
        <v>75</v>
      </c>
      <c r="J38" s="31"/>
      <c r="K38" s="31"/>
    </row>
    <row r="39" ht="21.75" customHeight="1">
      <c r="A39" s="27">
        <v>34.0</v>
      </c>
      <c r="B39" s="36" t="s">
        <v>79</v>
      </c>
      <c r="C39" s="37" t="s">
        <v>80</v>
      </c>
      <c r="D39" s="30" t="s">
        <v>52</v>
      </c>
      <c r="E39" s="36" t="s">
        <v>24</v>
      </c>
      <c r="F39" s="39">
        <v>5.0</v>
      </c>
      <c r="G39" s="39">
        <v>80.0</v>
      </c>
      <c r="H39" s="32">
        <v>51.0</v>
      </c>
      <c r="I39" s="34">
        <f t="shared" si="1"/>
        <v>63.8</v>
      </c>
      <c r="J39" s="36"/>
      <c r="K39" s="33" t="s">
        <v>81</v>
      </c>
    </row>
    <row r="40" ht="15.75" customHeight="1">
      <c r="A40" s="27">
        <v>35.0</v>
      </c>
      <c r="B40" s="36" t="s">
        <v>82</v>
      </c>
      <c r="C40" s="37" t="s">
        <v>77</v>
      </c>
      <c r="D40" s="38" t="s">
        <v>28</v>
      </c>
      <c r="E40" s="36" t="s">
        <v>24</v>
      </c>
      <c r="F40" s="39">
        <v>5.0</v>
      </c>
      <c r="G40" s="39">
        <v>80.0</v>
      </c>
      <c r="H40" s="32">
        <v>47.0</v>
      </c>
      <c r="I40" s="34">
        <f t="shared" si="1"/>
        <v>58.8</v>
      </c>
      <c r="J40" s="36"/>
      <c r="K40" s="3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2:K2"/>
  </mergeCells>
  <conditionalFormatting sqref="I5:I40">
    <cfRule type="colorScale" priority="1">
      <colorScale>
        <cfvo type="formula" val="0"/>
        <cfvo type="formula" val="50"/>
        <cfvo type="formula" val="100"/>
        <color rgb="FFFF6B6B"/>
        <color rgb="FFFFD93D"/>
        <color rgb="FF6BCB77"/>
      </colorScale>
    </cfRule>
  </conditionalFormatting>
  <dataValidations>
    <dataValidation type="list" allowBlank="1" sqref="D5:D40">
      <formula1>"Валера,Рубцов Александр,Константин,Дима Кичигин,Артем,Паша Рубцов,Александр Костя,Саша Москва,Елена,Виктор Федосеев,-------,Миша"</formula1>
    </dataValidation>
    <dataValidation type="list" allowBlank="1" sqref="C5:C40">
      <formula1>"В работе,На паузе,Подготовка,Проблемный,Нужен сотрудник,Отказ,Выплачено,Ждет выплаты,Готов,Выкладывается"</formula1>
    </dataValidation>
    <dataValidation type="custom" allowBlank="1" showDropDown="1" sqref="I5:I40">
      <formula1>AND(ISNUMBER(I5),(NOT(OR(NOT(ISERROR(DATEVALUE(I5))), AND(ISNUMBER(I5), LEFT(CELL("format", I5))="D")))))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7A6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3.29"/>
    <col customWidth="1" min="3" max="3" width="17.71"/>
    <col customWidth="1" min="4" max="4" width="19.57"/>
    <col customWidth="1" min="5" max="5" width="16.0"/>
    <col customWidth="1" min="6" max="6" width="29.86"/>
    <col customWidth="1" min="7" max="7" width="23.14"/>
    <col customWidth="1" min="8" max="8" width="46.0"/>
    <col customWidth="1" min="9" max="24" width="8.71"/>
  </cols>
  <sheetData>
    <row r="1" ht="7.5" customHeight="1">
      <c r="A1" s="45" t="s">
        <v>83</v>
      </c>
    </row>
    <row r="2" ht="42.0" customHeight="1">
      <c r="A2" s="24" t="s">
        <v>84</v>
      </c>
      <c r="B2" s="2"/>
      <c r="C2" s="2"/>
      <c r="D2" s="2"/>
      <c r="E2" s="2"/>
      <c r="F2" s="2"/>
      <c r="G2" s="3"/>
    </row>
    <row r="3" ht="27.75" customHeight="1">
      <c r="A3" s="25"/>
      <c r="B3" s="25"/>
      <c r="C3" s="25"/>
      <c r="D3" s="25"/>
      <c r="E3" s="25"/>
      <c r="F3" s="25"/>
      <c r="G3" s="25"/>
    </row>
    <row r="4" ht="27.75" customHeight="1">
      <c r="A4" s="26" t="s">
        <v>5</v>
      </c>
      <c r="B4" s="26" t="s">
        <v>6</v>
      </c>
      <c r="C4" s="26" t="s">
        <v>85</v>
      </c>
      <c r="D4" s="26" t="s">
        <v>86</v>
      </c>
      <c r="E4" s="26" t="s">
        <v>87</v>
      </c>
      <c r="F4" s="26" t="s">
        <v>88</v>
      </c>
      <c r="G4" s="26" t="s">
        <v>89</v>
      </c>
      <c r="H4" s="26" t="s">
        <v>20</v>
      </c>
    </row>
    <row r="5" ht="21.75" customHeight="1">
      <c r="A5" s="46" t="s">
        <v>53</v>
      </c>
      <c r="B5" s="47" t="s">
        <v>28</v>
      </c>
      <c r="C5" s="48">
        <v>46092.0</v>
      </c>
      <c r="D5" s="49">
        <v>252295.0</v>
      </c>
      <c r="E5" s="49">
        <v>54.0</v>
      </c>
      <c r="F5" s="49">
        <v>32.0</v>
      </c>
      <c r="G5" s="49">
        <v>651.0</v>
      </c>
      <c r="H5" s="50" t="s">
        <v>90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ht="21.75" customHeight="1">
      <c r="A6" s="46" t="s">
        <v>55</v>
      </c>
      <c r="B6" s="47" t="s">
        <v>28</v>
      </c>
      <c r="C6" s="48">
        <v>46092.0</v>
      </c>
      <c r="D6" s="49">
        <v>402961.0</v>
      </c>
      <c r="E6" s="49">
        <v>1710.0</v>
      </c>
      <c r="F6" s="49">
        <v>1688.0</v>
      </c>
      <c r="G6" s="49">
        <v>8112.0</v>
      </c>
      <c r="H6" s="50" t="s">
        <v>90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ht="21.75" customHeight="1">
      <c r="A7" s="46" t="s">
        <v>56</v>
      </c>
      <c r="B7" s="47" t="s">
        <v>35</v>
      </c>
      <c r="C7" s="48" t="s">
        <v>91</v>
      </c>
      <c r="D7" s="49">
        <v>133826.0</v>
      </c>
      <c r="E7" s="49">
        <v>63.0</v>
      </c>
      <c r="F7" s="49">
        <v>49.0</v>
      </c>
      <c r="G7" s="49">
        <v>716.0</v>
      </c>
      <c r="H7" s="48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ht="21.75" customHeight="1">
      <c r="A8" s="46" t="s">
        <v>50</v>
      </c>
      <c r="B8" s="47" t="s">
        <v>92</v>
      </c>
      <c r="C8" s="48">
        <v>46091.0</v>
      </c>
      <c r="D8" s="49">
        <v>44473.0</v>
      </c>
      <c r="E8" s="49"/>
      <c r="F8" s="49">
        <v>23.0</v>
      </c>
      <c r="G8" s="49">
        <v>349.0</v>
      </c>
      <c r="H8" s="50" t="s">
        <v>93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ht="21.75" customHeight="1">
      <c r="A9" s="31" t="s">
        <v>30</v>
      </c>
      <c r="B9" s="38" t="s">
        <v>28</v>
      </c>
      <c r="C9" s="35">
        <v>46104.0</v>
      </c>
      <c r="D9" s="27">
        <v>59626.0</v>
      </c>
      <c r="E9" s="27">
        <v>0.0</v>
      </c>
      <c r="F9" s="27">
        <v>0.0</v>
      </c>
      <c r="G9" s="27">
        <v>822.0</v>
      </c>
      <c r="H9" s="28" t="s">
        <v>94</v>
      </c>
    </row>
    <row r="10" ht="15.75" customHeight="1">
      <c r="A10" s="31" t="s">
        <v>26</v>
      </c>
      <c r="B10" s="38" t="s">
        <v>28</v>
      </c>
      <c r="C10" s="35">
        <v>46104.0</v>
      </c>
      <c r="D10" s="27">
        <v>15193.0</v>
      </c>
      <c r="E10" s="27">
        <v>5.0</v>
      </c>
      <c r="F10" s="27">
        <v>2.0</v>
      </c>
      <c r="G10" s="27">
        <v>122.0</v>
      </c>
      <c r="H10" s="28" t="s">
        <v>94</v>
      </c>
    </row>
    <row r="11" ht="15.75" customHeight="1">
      <c r="A11" s="28" t="s">
        <v>49</v>
      </c>
      <c r="B11" s="30" t="s">
        <v>28</v>
      </c>
      <c r="C11" s="35">
        <v>46112.0</v>
      </c>
      <c r="D11" s="27" t="s">
        <v>95</v>
      </c>
      <c r="E11" s="27" t="s">
        <v>95</v>
      </c>
      <c r="F11" s="27" t="s">
        <v>95</v>
      </c>
      <c r="G11" s="27" t="s">
        <v>95</v>
      </c>
      <c r="H11" s="35"/>
    </row>
    <row r="12" ht="21.75" customHeight="1">
      <c r="A12" s="28" t="s">
        <v>96</v>
      </c>
      <c r="B12" s="40" t="s">
        <v>35</v>
      </c>
      <c r="C12" s="35">
        <v>46033.0</v>
      </c>
      <c r="D12" s="27">
        <v>27879.0</v>
      </c>
      <c r="E12" s="27">
        <v>35.0</v>
      </c>
      <c r="F12" s="27">
        <v>31.0</v>
      </c>
      <c r="G12" s="27">
        <v>198.0</v>
      </c>
      <c r="H12" s="35"/>
    </row>
    <row r="13" ht="21.75" customHeight="1">
      <c r="A13" s="31" t="s">
        <v>31</v>
      </c>
      <c r="B13" s="40" t="s">
        <v>33</v>
      </c>
      <c r="C13" s="35">
        <v>46091.0</v>
      </c>
      <c r="D13" s="27">
        <v>4015.0</v>
      </c>
      <c r="E13" s="27">
        <v>0.0</v>
      </c>
      <c r="F13" s="27">
        <v>0.0</v>
      </c>
      <c r="G13" s="27">
        <v>25.0</v>
      </c>
      <c r="H13" s="28"/>
    </row>
    <row r="14" ht="15.75" customHeight="1">
      <c r="A14" s="28" t="s">
        <v>57</v>
      </c>
      <c r="B14" s="40" t="s">
        <v>23</v>
      </c>
      <c r="C14" s="35">
        <v>46082.0</v>
      </c>
      <c r="D14" s="27">
        <v>156849.0</v>
      </c>
      <c r="E14" s="27">
        <v>24.0</v>
      </c>
      <c r="F14" s="27">
        <v>-10.0</v>
      </c>
      <c r="G14" s="27">
        <v>984.0</v>
      </c>
      <c r="H14" s="31"/>
    </row>
    <row r="15" ht="15.75" customHeight="1">
      <c r="A15" s="31" t="s">
        <v>39</v>
      </c>
      <c r="B15" s="30" t="s">
        <v>23</v>
      </c>
      <c r="C15" s="35">
        <v>46103.0</v>
      </c>
      <c r="D15" s="27">
        <v>81754.0</v>
      </c>
      <c r="E15" s="27">
        <v>16.0</v>
      </c>
      <c r="F15" s="27">
        <v>13.0</v>
      </c>
      <c r="G15" s="27">
        <v>304.0</v>
      </c>
      <c r="H15" s="35"/>
    </row>
    <row r="16" ht="15.75" customHeight="1">
      <c r="A16" s="36" t="s">
        <v>46</v>
      </c>
      <c r="B16" s="43" t="s">
        <v>47</v>
      </c>
      <c r="C16" s="35" t="s">
        <v>95</v>
      </c>
      <c r="D16" s="27" t="s">
        <v>95</v>
      </c>
      <c r="E16" s="27" t="s">
        <v>95</v>
      </c>
      <c r="F16" s="27" t="s">
        <v>95</v>
      </c>
      <c r="G16" s="27" t="s">
        <v>95</v>
      </c>
      <c r="H16" s="35"/>
    </row>
    <row r="17" ht="15.75" customHeight="1">
      <c r="A17" s="31" t="s">
        <v>36</v>
      </c>
      <c r="B17" s="38" t="s">
        <v>37</v>
      </c>
      <c r="C17" s="35">
        <v>46106.0</v>
      </c>
      <c r="D17" s="27">
        <v>1601.0</v>
      </c>
      <c r="E17" s="27">
        <v>0.0</v>
      </c>
      <c r="F17" s="27">
        <v>0.0</v>
      </c>
      <c r="G17" s="27">
        <v>12.0</v>
      </c>
      <c r="H17" s="28" t="s">
        <v>97</v>
      </c>
    </row>
    <row r="18" ht="15.75" customHeight="1">
      <c r="A18" s="36" t="s">
        <v>38</v>
      </c>
      <c r="B18" s="43" t="s">
        <v>37</v>
      </c>
      <c r="C18" s="35">
        <v>46101.0</v>
      </c>
      <c r="D18" s="27">
        <v>30156.0</v>
      </c>
      <c r="E18" s="27">
        <v>20.0</v>
      </c>
      <c r="F18" s="27">
        <v>3.0</v>
      </c>
      <c r="G18" s="27">
        <v>82.0</v>
      </c>
      <c r="H18" s="28" t="s">
        <v>98</v>
      </c>
    </row>
    <row r="19" ht="15.75" customHeight="1">
      <c r="A19" s="36" t="s">
        <v>73</v>
      </c>
      <c r="B19" s="40" t="s">
        <v>37</v>
      </c>
      <c r="C19" s="35">
        <v>46122.0</v>
      </c>
      <c r="D19" s="27">
        <v>3752.0</v>
      </c>
      <c r="E19" s="27">
        <v>0.0</v>
      </c>
      <c r="F19" s="27">
        <v>0.0</v>
      </c>
      <c r="G19" s="27">
        <v>14.0</v>
      </c>
      <c r="H19" s="28" t="s">
        <v>99</v>
      </c>
    </row>
    <row r="20" ht="15.75" customHeight="1">
      <c r="A20" s="28" t="s">
        <v>41</v>
      </c>
      <c r="B20" s="40" t="s">
        <v>37</v>
      </c>
      <c r="C20" s="35">
        <v>46122.0</v>
      </c>
      <c r="D20" s="27">
        <v>7463.0</v>
      </c>
      <c r="E20" s="27">
        <v>30.0</v>
      </c>
      <c r="F20" s="27">
        <v>29.0</v>
      </c>
      <c r="G20" s="27">
        <v>241.0</v>
      </c>
      <c r="H20" s="28" t="s">
        <v>100</v>
      </c>
    </row>
    <row r="21" ht="15.75" customHeight="1">
      <c r="A21" s="28" t="s">
        <v>40</v>
      </c>
      <c r="B21" s="40" t="s">
        <v>28</v>
      </c>
      <c r="C21" s="35">
        <v>46118.0</v>
      </c>
      <c r="D21" s="27" t="s">
        <v>95</v>
      </c>
      <c r="E21" s="27" t="s">
        <v>95</v>
      </c>
      <c r="F21" s="27" t="s">
        <v>95</v>
      </c>
      <c r="G21" s="27" t="s">
        <v>95</v>
      </c>
      <c r="H21" s="28" t="s">
        <v>101</v>
      </c>
    </row>
    <row r="22" ht="15.75" customHeight="1">
      <c r="A22" s="28" t="s">
        <v>42</v>
      </c>
      <c r="B22" s="40" t="s">
        <v>23</v>
      </c>
      <c r="C22" s="35">
        <v>46118.0</v>
      </c>
      <c r="D22" s="27" t="s">
        <v>95</v>
      </c>
      <c r="E22" s="27" t="s">
        <v>95</v>
      </c>
      <c r="F22" s="27" t="s">
        <v>95</v>
      </c>
      <c r="G22" s="27" t="s">
        <v>95</v>
      </c>
      <c r="H22" s="28"/>
    </row>
    <row r="23" ht="15.75" customHeight="1">
      <c r="A23" s="46" t="s">
        <v>79</v>
      </c>
      <c r="B23" s="52" t="s">
        <v>92</v>
      </c>
      <c r="C23" s="48" t="s">
        <v>95</v>
      </c>
      <c r="D23" s="49" t="s">
        <v>95</v>
      </c>
      <c r="E23" s="49" t="s">
        <v>95</v>
      </c>
      <c r="F23" s="49" t="s">
        <v>95</v>
      </c>
      <c r="G23" s="49" t="s">
        <v>95</v>
      </c>
      <c r="H23" s="53" t="s">
        <v>102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ht="21.75" customHeight="1">
      <c r="A24" s="46" t="s">
        <v>61</v>
      </c>
      <c r="B24" s="47" t="s">
        <v>28</v>
      </c>
      <c r="C24" s="48">
        <v>46075.0</v>
      </c>
      <c r="D24" s="49"/>
      <c r="E24" s="49">
        <v>0.0</v>
      </c>
      <c r="F24" s="49">
        <v>0.0</v>
      </c>
      <c r="G24" s="49">
        <v>0.0</v>
      </c>
      <c r="H24" s="46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ht="21.75" customHeight="1">
      <c r="A25" s="46" t="s">
        <v>59</v>
      </c>
      <c r="B25" s="47" t="s">
        <v>28</v>
      </c>
      <c r="C25" s="48">
        <v>46070.0</v>
      </c>
      <c r="D25" s="49">
        <v>10395.0</v>
      </c>
      <c r="E25" s="49">
        <v>0.0</v>
      </c>
      <c r="F25" s="49">
        <v>0.0</v>
      </c>
      <c r="G25" s="49">
        <v>37.0</v>
      </c>
      <c r="H25" s="50" t="s">
        <v>103</v>
      </c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21.75" customHeight="1">
      <c r="A26" s="46" t="s">
        <v>58</v>
      </c>
      <c r="B26" s="47" t="s">
        <v>28</v>
      </c>
      <c r="C26" s="48">
        <v>46070.0</v>
      </c>
      <c r="D26" s="49">
        <v>178823.0</v>
      </c>
      <c r="E26" s="49">
        <v>181.0</v>
      </c>
      <c r="F26" s="49">
        <v>87.0</v>
      </c>
      <c r="G26" s="49">
        <v>71.0</v>
      </c>
      <c r="H26" s="50" t="s">
        <v>103</v>
      </c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ht="21.75" customHeight="1">
      <c r="A27" s="46" t="s">
        <v>60</v>
      </c>
      <c r="B27" s="47" t="s">
        <v>28</v>
      </c>
      <c r="C27" s="48">
        <v>46063.0</v>
      </c>
      <c r="D27" s="49">
        <v>39371.0</v>
      </c>
      <c r="E27" s="49">
        <v>5.0</v>
      </c>
      <c r="F27" s="49">
        <v>4.0</v>
      </c>
      <c r="G27" s="49">
        <v>76.0</v>
      </c>
      <c r="H27" s="50" t="s">
        <v>104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21.75" customHeight="1">
      <c r="A28" s="46" t="s">
        <v>82</v>
      </c>
      <c r="B28" s="47" t="s">
        <v>28</v>
      </c>
      <c r="C28" s="48">
        <v>46091.0</v>
      </c>
      <c r="D28" s="49">
        <v>2855.0</v>
      </c>
      <c r="E28" s="49">
        <v>19.0</v>
      </c>
      <c r="F28" s="49">
        <v>0.0</v>
      </c>
      <c r="G28" s="49">
        <v>1.0</v>
      </c>
      <c r="H28" s="46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15.75" customHeight="1">
      <c r="A29" s="50" t="s">
        <v>44</v>
      </c>
      <c r="B29" s="52" t="s">
        <v>23</v>
      </c>
      <c r="C29" s="48">
        <v>46118.0</v>
      </c>
      <c r="D29" s="49" t="s">
        <v>95</v>
      </c>
      <c r="E29" s="49" t="s">
        <v>95</v>
      </c>
      <c r="F29" s="49" t="s">
        <v>95</v>
      </c>
      <c r="G29" s="49" t="s">
        <v>95</v>
      </c>
      <c r="H29" s="50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15.75" customHeight="1">
      <c r="A30" s="46" t="s">
        <v>78</v>
      </c>
      <c r="B30" s="52" t="s">
        <v>105</v>
      </c>
      <c r="C30" s="48" t="s">
        <v>95</v>
      </c>
      <c r="D30" s="49" t="s">
        <v>95</v>
      </c>
      <c r="E30" s="49" t="s">
        <v>95</v>
      </c>
      <c r="F30" s="49" t="s">
        <v>95</v>
      </c>
      <c r="G30" s="49" t="s">
        <v>95</v>
      </c>
      <c r="H30" s="48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ht="15.75" customHeight="1">
      <c r="A31" s="46" t="s">
        <v>65</v>
      </c>
      <c r="B31" s="52" t="s">
        <v>105</v>
      </c>
      <c r="C31" s="48" t="s">
        <v>95</v>
      </c>
      <c r="D31" s="49" t="s">
        <v>95</v>
      </c>
      <c r="E31" s="49" t="s">
        <v>95</v>
      </c>
      <c r="F31" s="49" t="s">
        <v>95</v>
      </c>
      <c r="G31" s="49" t="s">
        <v>95</v>
      </c>
      <c r="H31" s="48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21.75" customHeight="1">
      <c r="A32" s="46" t="s">
        <v>71</v>
      </c>
      <c r="B32" s="52" t="s">
        <v>105</v>
      </c>
      <c r="C32" s="48" t="s">
        <v>95</v>
      </c>
      <c r="D32" s="49" t="s">
        <v>95</v>
      </c>
      <c r="E32" s="49" t="s">
        <v>95</v>
      </c>
      <c r="F32" s="49" t="s">
        <v>95</v>
      </c>
      <c r="G32" s="49" t="s">
        <v>95</v>
      </c>
      <c r="H32" s="46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ht="15.75" customHeight="1">
      <c r="A33" s="46" t="s">
        <v>62</v>
      </c>
      <c r="B33" s="52" t="s">
        <v>105</v>
      </c>
      <c r="C33" s="48" t="s">
        <v>95</v>
      </c>
      <c r="D33" s="49" t="s">
        <v>95</v>
      </c>
      <c r="E33" s="49" t="s">
        <v>95</v>
      </c>
      <c r="F33" s="49" t="s">
        <v>95</v>
      </c>
      <c r="G33" s="49" t="s">
        <v>95</v>
      </c>
      <c r="H33" s="48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ht="15.75" customHeight="1">
      <c r="A34" s="46" t="s">
        <v>66</v>
      </c>
      <c r="B34" s="52" t="s">
        <v>105</v>
      </c>
      <c r="C34" s="48" t="s">
        <v>95</v>
      </c>
      <c r="D34" s="49" t="s">
        <v>95</v>
      </c>
      <c r="E34" s="49" t="s">
        <v>95</v>
      </c>
      <c r="F34" s="49" t="s">
        <v>95</v>
      </c>
      <c r="G34" s="49" t="s">
        <v>95</v>
      </c>
      <c r="H34" s="48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46" t="s">
        <v>76</v>
      </c>
      <c r="B35" s="52" t="s">
        <v>105</v>
      </c>
      <c r="C35" s="48" t="s">
        <v>95</v>
      </c>
      <c r="D35" s="49" t="s">
        <v>95</v>
      </c>
      <c r="E35" s="49" t="s">
        <v>95</v>
      </c>
      <c r="F35" s="49" t="s">
        <v>95</v>
      </c>
      <c r="G35" s="49" t="s">
        <v>95</v>
      </c>
      <c r="H35" s="48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46" t="s">
        <v>74</v>
      </c>
      <c r="B36" s="52" t="s">
        <v>105</v>
      </c>
      <c r="C36" s="48" t="s">
        <v>95</v>
      </c>
      <c r="D36" s="49" t="s">
        <v>95</v>
      </c>
      <c r="E36" s="49" t="s">
        <v>95</v>
      </c>
      <c r="F36" s="49" t="s">
        <v>95</v>
      </c>
      <c r="G36" s="49" t="s">
        <v>95</v>
      </c>
      <c r="H36" s="48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46" t="s">
        <v>69</v>
      </c>
      <c r="B37" s="52" t="s">
        <v>105</v>
      </c>
      <c r="C37" s="48" t="s">
        <v>95</v>
      </c>
      <c r="D37" s="49" t="s">
        <v>95</v>
      </c>
      <c r="E37" s="49" t="s">
        <v>95</v>
      </c>
      <c r="F37" s="49" t="s">
        <v>95</v>
      </c>
      <c r="G37" s="49" t="s">
        <v>95</v>
      </c>
      <c r="H37" s="48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2:G2"/>
  </mergeCells>
  <dataValidations>
    <dataValidation type="list" allowBlank="1" sqref="B5:B37">
      <formula1>"Валера,Константин,Дима Кичигин,Александр,Артем,Рубцов Александр,------,Паша Рубцов,Александр Костя,Елена,Виктор Федосеев,Миша"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D660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45.0"/>
    <col customWidth="1" min="4" max="4" width="13.0"/>
    <col customWidth="1" min="5" max="5" width="14.0"/>
    <col customWidth="1" min="6" max="6" width="20.0"/>
    <col customWidth="1" min="7" max="7" width="14.0"/>
    <col customWidth="1" min="8" max="8" width="24.0"/>
    <col customWidth="1" min="9" max="26" width="8.71"/>
  </cols>
  <sheetData>
    <row r="1" ht="7.5" customHeight="1"/>
    <row r="2" ht="42.0" customHeight="1">
      <c r="A2" s="24" t="s">
        <v>106</v>
      </c>
      <c r="B2" s="2"/>
      <c r="C2" s="2"/>
      <c r="D2" s="2"/>
      <c r="E2" s="2"/>
      <c r="F2" s="2"/>
      <c r="G2" s="2"/>
      <c r="H2" s="3"/>
    </row>
    <row r="3" ht="27.75" customHeight="1">
      <c r="A3" s="16" t="s">
        <v>14</v>
      </c>
      <c r="B3" s="16" t="s">
        <v>5</v>
      </c>
      <c r="C3" s="16" t="s">
        <v>107</v>
      </c>
      <c r="D3" s="16" t="s">
        <v>108</v>
      </c>
      <c r="E3" s="16" t="s">
        <v>109</v>
      </c>
      <c r="F3" s="16" t="s">
        <v>6</v>
      </c>
      <c r="G3" s="16" t="s">
        <v>16</v>
      </c>
      <c r="H3" s="16" t="s">
        <v>20</v>
      </c>
    </row>
    <row r="4" ht="25.5" customHeight="1">
      <c r="A4" s="19">
        <v>1.0</v>
      </c>
      <c r="B4" s="18" t="s">
        <v>110</v>
      </c>
      <c r="C4" s="54" t="s">
        <v>111</v>
      </c>
      <c r="D4" s="18" t="s">
        <v>112</v>
      </c>
      <c r="E4" s="18" t="s">
        <v>113</v>
      </c>
      <c r="F4" s="18" t="s">
        <v>114</v>
      </c>
      <c r="G4" s="55" t="s">
        <v>115</v>
      </c>
      <c r="H4" s="54" t="s">
        <v>116</v>
      </c>
    </row>
    <row r="5" ht="25.5" customHeight="1">
      <c r="A5" s="22">
        <v>2.0</v>
      </c>
      <c r="B5" s="21" t="s">
        <v>110</v>
      </c>
      <c r="C5" s="56" t="s">
        <v>117</v>
      </c>
      <c r="D5" s="21" t="s">
        <v>112</v>
      </c>
      <c r="E5" s="21" t="s">
        <v>118</v>
      </c>
      <c r="F5" s="21" t="s">
        <v>114</v>
      </c>
      <c r="G5" s="55" t="s">
        <v>115</v>
      </c>
      <c r="H5" s="56" t="s">
        <v>119</v>
      </c>
    </row>
    <row r="6" ht="25.5" customHeight="1">
      <c r="A6" s="19">
        <v>3.0</v>
      </c>
      <c r="B6" s="18" t="s">
        <v>66</v>
      </c>
      <c r="C6" s="54" t="s">
        <v>120</v>
      </c>
      <c r="D6" s="18" t="s">
        <v>112</v>
      </c>
      <c r="E6" s="18" t="s">
        <v>118</v>
      </c>
      <c r="F6" s="18" t="s">
        <v>114</v>
      </c>
      <c r="G6" s="57" t="s">
        <v>22</v>
      </c>
      <c r="H6" s="54"/>
    </row>
    <row r="7" ht="25.5" customHeight="1">
      <c r="A7" s="22">
        <v>4.0</v>
      </c>
      <c r="B7" s="21" t="s">
        <v>58</v>
      </c>
      <c r="C7" s="56" t="s">
        <v>121</v>
      </c>
      <c r="D7" s="21" t="s">
        <v>112</v>
      </c>
      <c r="E7" s="21" t="s">
        <v>118</v>
      </c>
      <c r="F7" s="21" t="s">
        <v>114</v>
      </c>
      <c r="G7" s="57" t="s">
        <v>122</v>
      </c>
      <c r="H7" s="56"/>
    </row>
    <row r="8" ht="25.5" customHeight="1">
      <c r="A8" s="19">
        <v>5.0</v>
      </c>
      <c r="B8" s="18" t="s">
        <v>123</v>
      </c>
      <c r="C8" s="54" t="s">
        <v>124</v>
      </c>
      <c r="D8" s="18" t="s">
        <v>112</v>
      </c>
      <c r="E8" s="18" t="s">
        <v>118</v>
      </c>
      <c r="F8" s="18" t="s">
        <v>114</v>
      </c>
      <c r="G8" s="55" t="s">
        <v>115</v>
      </c>
      <c r="H8" s="54"/>
    </row>
    <row r="9" ht="25.5" customHeight="1">
      <c r="A9" s="22">
        <v>6.0</v>
      </c>
      <c r="B9" s="21" t="s">
        <v>59</v>
      </c>
      <c r="C9" s="56" t="s">
        <v>125</v>
      </c>
      <c r="D9" s="21" t="s">
        <v>126</v>
      </c>
      <c r="E9" s="21" t="s">
        <v>127</v>
      </c>
      <c r="F9" s="21"/>
      <c r="G9" s="55" t="s">
        <v>115</v>
      </c>
      <c r="H9" s="5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dataValidations>
    <dataValidation type="list" allowBlank="1" showErrorMessage="1" sqref="G4:G9">
      <formula1>"В работе,Готово,Ждет Матвея"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348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15.0"/>
    <col customWidth="1" min="4" max="4" width="20.43"/>
    <col customWidth="1" min="5" max="5" width="38.71"/>
    <col customWidth="1" min="6" max="6" width="17.14"/>
    <col customWidth="1" min="7" max="7" width="24.0"/>
    <col customWidth="1" min="8" max="26" width="8.71"/>
  </cols>
  <sheetData>
    <row r="1" ht="7.5" customHeight="1"/>
    <row r="2" ht="42.0" customHeight="1">
      <c r="A2" s="24" t="s">
        <v>128</v>
      </c>
      <c r="B2" s="2"/>
      <c r="C2" s="2"/>
      <c r="D2" s="2"/>
      <c r="E2" s="2"/>
      <c r="F2" s="2"/>
      <c r="G2" s="3"/>
    </row>
    <row r="3" ht="27.75" customHeight="1">
      <c r="A3" s="25"/>
      <c r="B3" s="25"/>
      <c r="C3" s="25"/>
      <c r="D3" s="25"/>
      <c r="E3" s="25"/>
      <c r="F3" s="25"/>
      <c r="G3" s="25"/>
    </row>
    <row r="4" ht="27.75" customHeight="1">
      <c r="A4" s="26" t="s">
        <v>129</v>
      </c>
      <c r="B4" s="26" t="s">
        <v>130</v>
      </c>
      <c r="C4" s="26" t="s">
        <v>131</v>
      </c>
      <c r="D4" s="26" t="s">
        <v>132</v>
      </c>
      <c r="E4" s="26" t="s">
        <v>133</v>
      </c>
      <c r="F4" s="26" t="s">
        <v>134</v>
      </c>
      <c r="G4" s="26" t="s">
        <v>20</v>
      </c>
    </row>
    <row r="5" ht="21.75" customHeight="1">
      <c r="A5" s="31" t="s">
        <v>92</v>
      </c>
      <c r="B5" s="31" t="s">
        <v>135</v>
      </c>
      <c r="C5" s="31" t="s">
        <v>136</v>
      </c>
      <c r="D5" s="43" t="s">
        <v>137</v>
      </c>
      <c r="E5" s="28" t="s">
        <v>138</v>
      </c>
      <c r="F5" s="58" t="s">
        <v>139</v>
      </c>
      <c r="G5" s="31"/>
    </row>
    <row r="6" ht="21.75" customHeight="1">
      <c r="A6" s="31" t="s">
        <v>37</v>
      </c>
      <c r="B6" s="31"/>
      <c r="C6" s="31" t="s">
        <v>136</v>
      </c>
      <c r="D6" s="43" t="s">
        <v>140</v>
      </c>
      <c r="E6" s="31" t="s">
        <v>141</v>
      </c>
      <c r="F6" s="59" t="s">
        <v>142</v>
      </c>
      <c r="G6" s="31"/>
    </row>
    <row r="7" ht="21.75" customHeight="1">
      <c r="A7" s="31" t="s">
        <v>143</v>
      </c>
      <c r="B7" s="31" t="s">
        <v>144</v>
      </c>
      <c r="C7" s="31" t="s">
        <v>136</v>
      </c>
      <c r="D7" s="43" t="s">
        <v>145</v>
      </c>
      <c r="E7" s="31" t="s">
        <v>146</v>
      </c>
      <c r="F7" s="59" t="s">
        <v>142</v>
      </c>
      <c r="G7" s="31"/>
    </row>
    <row r="8" ht="21.75" customHeight="1">
      <c r="A8" s="31" t="s">
        <v>92</v>
      </c>
      <c r="B8" s="31"/>
      <c r="C8" s="31" t="s">
        <v>147</v>
      </c>
      <c r="D8" s="43" t="s">
        <v>137</v>
      </c>
      <c r="E8" s="31" t="s">
        <v>148</v>
      </c>
      <c r="F8" s="58" t="s">
        <v>149</v>
      </c>
      <c r="G8" s="31"/>
    </row>
    <row r="9" ht="21.75" customHeight="1">
      <c r="A9" s="31" t="s">
        <v>23</v>
      </c>
      <c r="B9" s="31"/>
      <c r="C9" s="31" t="s">
        <v>150</v>
      </c>
      <c r="D9" s="43" t="s">
        <v>137</v>
      </c>
      <c r="E9" s="31" t="s">
        <v>57</v>
      </c>
      <c r="F9" s="59" t="s">
        <v>142</v>
      </c>
      <c r="G9" s="31"/>
    </row>
    <row r="10" ht="21.75" customHeight="1">
      <c r="A10" s="31" t="s">
        <v>35</v>
      </c>
      <c r="B10" s="31"/>
      <c r="C10" s="31" t="s">
        <v>136</v>
      </c>
      <c r="D10" s="43" t="s">
        <v>145</v>
      </c>
      <c r="E10" s="31" t="s">
        <v>56</v>
      </c>
      <c r="F10" s="59" t="s">
        <v>142</v>
      </c>
      <c r="G10" s="31"/>
    </row>
    <row r="11" ht="21.75" customHeight="1">
      <c r="A11" s="31" t="s">
        <v>151</v>
      </c>
      <c r="B11" s="31" t="s">
        <v>152</v>
      </c>
      <c r="C11" s="31" t="s">
        <v>136</v>
      </c>
      <c r="D11" s="43" t="s">
        <v>140</v>
      </c>
      <c r="E11" s="31" t="s">
        <v>153</v>
      </c>
      <c r="F11" s="59" t="s">
        <v>149</v>
      </c>
      <c r="G11" s="31"/>
    </row>
    <row r="12" ht="21.75" customHeight="1">
      <c r="A12" s="31" t="s">
        <v>154</v>
      </c>
      <c r="B12" s="31" t="s">
        <v>135</v>
      </c>
      <c r="C12" s="31" t="s">
        <v>136</v>
      </c>
      <c r="D12" s="43" t="s">
        <v>155</v>
      </c>
      <c r="E12" s="31" t="s">
        <v>156</v>
      </c>
      <c r="F12" s="59" t="s">
        <v>149</v>
      </c>
      <c r="G12" s="31"/>
    </row>
    <row r="13" ht="21.75" customHeight="1">
      <c r="A13" s="31" t="s">
        <v>72</v>
      </c>
      <c r="B13" s="31"/>
      <c r="C13" s="31" t="s">
        <v>136</v>
      </c>
      <c r="D13" s="43" t="s">
        <v>137</v>
      </c>
      <c r="E13" s="31"/>
      <c r="F13" s="59" t="s">
        <v>149</v>
      </c>
      <c r="G13" s="31"/>
    </row>
    <row r="14" ht="22.5" customHeight="1">
      <c r="A14" s="31" t="s">
        <v>157</v>
      </c>
      <c r="B14" s="31"/>
      <c r="C14" s="31" t="s">
        <v>136</v>
      </c>
      <c r="D14" s="43" t="s">
        <v>140</v>
      </c>
      <c r="E14" s="31"/>
      <c r="F14" s="58" t="s">
        <v>149</v>
      </c>
      <c r="G14" s="31" t="s">
        <v>158</v>
      </c>
    </row>
    <row r="15" ht="22.5" customHeight="1">
      <c r="A15" s="31" t="s">
        <v>33</v>
      </c>
      <c r="B15" s="31"/>
      <c r="C15" s="31" t="s">
        <v>150</v>
      </c>
      <c r="D15" s="40" t="s">
        <v>137</v>
      </c>
      <c r="E15" s="31"/>
      <c r="F15" s="58" t="s">
        <v>159</v>
      </c>
      <c r="G15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dataValidations>
    <dataValidation type="list" allowBlank="1" sqref="D5:D15">
      <formula1>"Учеба + работа,Работа,Свободен,Учеба"</formula1>
    </dataValidation>
    <dataValidation type="list" allowBlank="1" sqref="F5:F15">
      <formula1>"Админ,Активен,НЕАктивен,Стажер"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456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3.0"/>
    <col customWidth="1" min="2" max="2" width="38.43"/>
    <col customWidth="1" min="3" max="3" width="28.29"/>
    <col customWidth="1" min="4" max="4" width="39.0"/>
    <col customWidth="1" min="5" max="5" width="43.0"/>
    <col customWidth="1" min="6" max="6" width="24.43"/>
    <col customWidth="1" min="7" max="26" width="8.71"/>
  </cols>
  <sheetData>
    <row r="1" ht="7.5" customHeight="1"/>
    <row r="2" ht="42.0" customHeight="1">
      <c r="A2" s="60" t="s">
        <v>160</v>
      </c>
      <c r="B2" s="2"/>
      <c r="C2" s="2"/>
      <c r="D2" s="2"/>
      <c r="E2" s="2"/>
      <c r="F2" s="3"/>
    </row>
    <row r="3" ht="7.5" customHeight="1"/>
    <row r="4">
      <c r="A4" s="61" t="s">
        <v>161</v>
      </c>
      <c r="B4" s="2"/>
      <c r="C4" s="2"/>
      <c r="D4" s="2"/>
      <c r="E4" s="2"/>
      <c r="F4" s="3"/>
    </row>
    <row r="5" ht="27.75" customHeight="1">
      <c r="A5" s="25"/>
      <c r="B5" s="25"/>
      <c r="C5" s="25"/>
      <c r="D5" s="25"/>
      <c r="E5" s="25"/>
      <c r="F5" s="25"/>
    </row>
    <row r="6" ht="27.75" customHeight="1">
      <c r="A6" s="62" t="s">
        <v>5</v>
      </c>
      <c r="B6" s="62" t="s">
        <v>162</v>
      </c>
      <c r="C6" s="62" t="s">
        <v>163</v>
      </c>
      <c r="D6" s="62" t="s">
        <v>164</v>
      </c>
      <c r="E6" s="62" t="s">
        <v>165</v>
      </c>
      <c r="F6" s="63" t="s">
        <v>166</v>
      </c>
    </row>
    <row r="7" ht="21.75" customHeight="1">
      <c r="A7" s="64" t="s">
        <v>56</v>
      </c>
      <c r="B7" s="65" t="s">
        <v>167</v>
      </c>
      <c r="C7" s="64" t="s">
        <v>168</v>
      </c>
      <c r="D7" s="64" t="s">
        <v>169</v>
      </c>
      <c r="E7" s="66">
        <v>2508507.0</v>
      </c>
      <c r="F7" s="67"/>
    </row>
    <row r="8" ht="21.75" customHeight="1">
      <c r="A8" s="64" t="s">
        <v>58</v>
      </c>
      <c r="B8" s="65" t="s">
        <v>170</v>
      </c>
      <c r="C8" s="64" t="s">
        <v>171</v>
      </c>
      <c r="D8" s="64" t="s">
        <v>172</v>
      </c>
      <c r="E8" s="66" t="s">
        <v>173</v>
      </c>
      <c r="F8" s="67"/>
    </row>
    <row r="9" ht="21.75" customHeight="1">
      <c r="A9" s="64" t="s">
        <v>57</v>
      </c>
      <c r="B9" s="65" t="s">
        <v>174</v>
      </c>
      <c r="C9" s="64" t="s">
        <v>175</v>
      </c>
      <c r="D9" s="64" t="s">
        <v>176</v>
      </c>
      <c r="E9" s="68"/>
      <c r="F9" s="69"/>
    </row>
    <row r="10" ht="21.75" customHeight="1">
      <c r="A10" s="64" t="s">
        <v>46</v>
      </c>
      <c r="B10" s="65" t="s">
        <v>177</v>
      </c>
      <c r="C10" s="64" t="s">
        <v>178</v>
      </c>
      <c r="D10" s="64" t="s">
        <v>179</v>
      </c>
      <c r="E10" s="68"/>
      <c r="F10" s="69"/>
    </row>
    <row r="11" ht="21.75" customHeight="1">
      <c r="A11" s="64" t="s">
        <v>59</v>
      </c>
      <c r="B11" s="65" t="s">
        <v>180</v>
      </c>
      <c r="C11" s="64" t="s">
        <v>181</v>
      </c>
      <c r="D11" s="64" t="s">
        <v>182</v>
      </c>
      <c r="E11" s="68"/>
      <c r="F11" s="69"/>
    </row>
    <row r="12" ht="21.75" customHeight="1">
      <c r="A12" s="64" t="s">
        <v>26</v>
      </c>
      <c r="B12" s="65" t="s">
        <v>183</v>
      </c>
      <c r="C12" s="64" t="s">
        <v>184</v>
      </c>
      <c r="D12" s="64" t="s">
        <v>185</v>
      </c>
      <c r="E12" s="68"/>
      <c r="F12" s="69"/>
    </row>
    <row r="13" ht="21.75" customHeight="1">
      <c r="A13" s="64" t="s">
        <v>53</v>
      </c>
      <c r="B13" s="65" t="s">
        <v>186</v>
      </c>
      <c r="C13" s="64" t="s">
        <v>187</v>
      </c>
      <c r="D13" s="68"/>
      <c r="E13" s="68"/>
      <c r="F13" s="69"/>
    </row>
    <row r="14" ht="21.75" customHeight="1">
      <c r="A14" s="64" t="s">
        <v>50</v>
      </c>
      <c r="B14" s="65" t="s">
        <v>188</v>
      </c>
      <c r="C14" s="64" t="s">
        <v>189</v>
      </c>
      <c r="D14" s="64" t="s">
        <v>190</v>
      </c>
      <c r="E14" s="68"/>
      <c r="F14" s="69"/>
    </row>
    <row r="15" ht="21.75" customHeight="1">
      <c r="A15" s="64" t="s">
        <v>79</v>
      </c>
      <c r="B15" s="65" t="s">
        <v>191</v>
      </c>
      <c r="C15" s="68"/>
      <c r="D15" s="68"/>
      <c r="E15" s="68"/>
      <c r="F15" s="69"/>
    </row>
    <row r="16" ht="21.75" customHeight="1">
      <c r="A16" s="64" t="s">
        <v>36</v>
      </c>
      <c r="B16" s="65" t="s">
        <v>192</v>
      </c>
      <c r="C16" s="64" t="s">
        <v>193</v>
      </c>
      <c r="D16" s="64" t="s">
        <v>194</v>
      </c>
      <c r="E16" s="68"/>
      <c r="F16" s="69"/>
    </row>
    <row r="17" ht="21.75" customHeight="1">
      <c r="A17" s="64" t="s">
        <v>38</v>
      </c>
      <c r="B17" s="65" t="s">
        <v>195</v>
      </c>
      <c r="C17" s="64">
        <v>8.913987388E10</v>
      </c>
      <c r="D17" s="64" t="s">
        <v>196</v>
      </c>
      <c r="E17" s="68"/>
      <c r="F17" s="69"/>
    </row>
    <row r="18" ht="21.75" customHeight="1">
      <c r="A18" s="64" t="s">
        <v>55</v>
      </c>
      <c r="B18" s="65" t="s">
        <v>197</v>
      </c>
      <c r="C18" s="64" t="s">
        <v>198</v>
      </c>
      <c r="D18" s="64" t="s">
        <v>199</v>
      </c>
      <c r="E18" s="68"/>
      <c r="F18" s="69"/>
    </row>
    <row r="19" ht="21.75" customHeight="1">
      <c r="A19" s="64" t="s">
        <v>31</v>
      </c>
      <c r="B19" s="65" t="s">
        <v>200</v>
      </c>
      <c r="C19" s="64" t="s">
        <v>201</v>
      </c>
      <c r="D19" s="64" t="s">
        <v>202</v>
      </c>
      <c r="E19" s="70" t="s">
        <v>203</v>
      </c>
      <c r="F19" s="71" t="s">
        <v>204</v>
      </c>
    </row>
    <row r="20" ht="21.75" customHeight="1">
      <c r="A20" s="64" t="s">
        <v>39</v>
      </c>
      <c r="B20" s="65" t="s">
        <v>205</v>
      </c>
      <c r="C20" s="64" t="s">
        <v>206</v>
      </c>
      <c r="D20" s="64" t="s">
        <v>207</v>
      </c>
      <c r="E20" s="68"/>
      <c r="F20" s="69"/>
    </row>
    <row r="21" ht="21.75" customHeight="1">
      <c r="A21" s="64" t="s">
        <v>73</v>
      </c>
      <c r="B21" s="65" t="s">
        <v>208</v>
      </c>
      <c r="C21" s="64" t="s">
        <v>209</v>
      </c>
      <c r="D21" s="64" t="s">
        <v>210</v>
      </c>
      <c r="E21" s="68"/>
      <c r="F21" s="69"/>
    </row>
    <row r="22" ht="21.75" customHeight="1">
      <c r="A22" s="64" t="s">
        <v>30</v>
      </c>
      <c r="B22" s="65" t="s">
        <v>211</v>
      </c>
      <c r="C22" s="64" t="s">
        <v>212</v>
      </c>
      <c r="D22" s="64" t="s">
        <v>213</v>
      </c>
      <c r="E22" s="68"/>
      <c r="F22" s="69"/>
    </row>
    <row r="23" ht="15.75" customHeight="1">
      <c r="A23" s="64" t="s">
        <v>49</v>
      </c>
      <c r="B23" s="64"/>
      <c r="C23" s="64"/>
      <c r="D23" s="64"/>
      <c r="E23" s="64"/>
      <c r="F23" s="72"/>
    </row>
    <row r="24" ht="15.75" customHeight="1">
      <c r="A24" s="64" t="s">
        <v>214</v>
      </c>
      <c r="B24" s="64"/>
      <c r="C24" s="64"/>
      <c r="D24" s="64"/>
      <c r="E24" s="64"/>
      <c r="F24" s="72"/>
    </row>
    <row r="25" ht="15.75" customHeight="1">
      <c r="A25" s="64" t="s">
        <v>40</v>
      </c>
      <c r="B25" s="65" t="s">
        <v>215</v>
      </c>
      <c r="C25" s="64" t="s">
        <v>216</v>
      </c>
      <c r="D25" s="64" t="s">
        <v>217</v>
      </c>
      <c r="E25" s="64"/>
      <c r="F25" s="72"/>
    </row>
    <row r="26" ht="15.75" customHeight="1">
      <c r="A26" s="64" t="s">
        <v>41</v>
      </c>
      <c r="B26" s="65" t="s">
        <v>218</v>
      </c>
      <c r="C26" s="64" t="s">
        <v>219</v>
      </c>
      <c r="D26" s="64" t="s">
        <v>220</v>
      </c>
      <c r="E26" s="64"/>
      <c r="F26" s="72"/>
    </row>
    <row r="27" ht="15.75" customHeight="1">
      <c r="A27" s="64" t="s">
        <v>42</v>
      </c>
      <c r="B27" s="65" t="s">
        <v>221</v>
      </c>
      <c r="C27" s="65" t="s">
        <v>222</v>
      </c>
      <c r="D27" s="64" t="s">
        <v>223</v>
      </c>
      <c r="E27" s="64"/>
      <c r="F27" s="72"/>
    </row>
    <row r="28" ht="15.75" customHeight="1">
      <c r="A28" s="64" t="s">
        <v>44</v>
      </c>
      <c r="B28" s="65" t="s">
        <v>224</v>
      </c>
      <c r="C28" s="64" t="s">
        <v>225</v>
      </c>
      <c r="D28" s="64" t="s">
        <v>226</v>
      </c>
      <c r="E28" s="64"/>
      <c r="F28" s="72"/>
    </row>
    <row r="29" ht="15.75" customHeight="1">
      <c r="A29" s="64" t="s">
        <v>43</v>
      </c>
      <c r="B29" s="65" t="s">
        <v>227</v>
      </c>
      <c r="C29" s="64" t="s">
        <v>228</v>
      </c>
      <c r="D29" s="64" t="s">
        <v>229</v>
      </c>
      <c r="E29" s="64"/>
      <c r="F29" s="7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">
    <mergeCell ref="A2:F2"/>
    <mergeCell ref="A4:F4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5"/>
    <hyperlink r:id="rId18" ref="B26"/>
    <hyperlink r:id="rId19" ref="B27"/>
    <hyperlink r:id="rId20" ref="C27"/>
    <hyperlink r:id="rId21" ref="B28"/>
    <hyperlink r:id="rId22" ref="B29"/>
  </hyperlinks>
  <printOptions/>
  <pageMargins bottom="1.0" footer="0.0" header="0.0" left="0.75" right="0.75" top="1.0"/>
  <pageSetup paperSize="9" orientation="portrait"/>
  <drawing r:id="rId23"/>
  <tableParts count="1">
    <tablePart r:id="rId25"/>
  </tableParts>
</worksheet>
</file>